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automatizacion cotizaciones andres\"/>
    </mc:Choice>
  </mc:AlternateContent>
  <xr:revisionPtr revIDLastSave="0" documentId="13_ncr:1_{69130268-036F-4282-968D-D60C8AC9888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tub. de cobre y red contrainc. " sheetId="1" r:id="rId1"/>
    <sheet name="Hoja2" sheetId="2" r:id="rId2"/>
    <sheet name="Hoja3" sheetId="3" r:id="rId3"/>
  </sheets>
  <definedNames>
    <definedName name="_xlnm._FilterDatabase" localSheetId="0" hidden="1">'tub. de cobre y red contrainc. '!$B$2:$G$141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" i="1" l="1"/>
  <c r="J78" i="1"/>
  <c r="K78" i="1" s="1"/>
  <c r="L78" i="1" s="1"/>
  <c r="M78" i="1" s="1"/>
  <c r="D87" i="1"/>
  <c r="E87" i="1" s="1"/>
  <c r="F87" i="1" s="1"/>
  <c r="K77" i="1"/>
  <c r="L77" i="1" s="1"/>
  <c r="M77" i="1" s="1"/>
  <c r="D106" i="1"/>
  <c r="E106" i="1" s="1"/>
  <c r="F106" i="1" s="1"/>
  <c r="D105" i="1"/>
  <c r="E105" i="1" s="1"/>
  <c r="F105" i="1" s="1"/>
  <c r="D104" i="1"/>
  <c r="E104" i="1" s="1"/>
  <c r="F104" i="1" s="1"/>
  <c r="D103" i="1"/>
  <c r="E103" i="1" s="1"/>
  <c r="F103" i="1" s="1"/>
  <c r="D102" i="1"/>
  <c r="E102" i="1" s="1"/>
  <c r="F102" i="1" s="1"/>
  <c r="D101" i="1"/>
  <c r="E101" i="1" s="1"/>
  <c r="F101" i="1" s="1"/>
  <c r="D100" i="1"/>
  <c r="E100" i="1" s="1"/>
  <c r="F100" i="1" s="1"/>
  <c r="D99" i="1"/>
  <c r="E99" i="1" s="1"/>
  <c r="F99" i="1" s="1"/>
  <c r="D98" i="1"/>
  <c r="E98" i="1" s="1"/>
  <c r="F98" i="1" s="1"/>
  <c r="D97" i="1"/>
  <c r="E97" i="1" s="1"/>
  <c r="F97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40" i="1"/>
  <c r="E140" i="1" s="1"/>
  <c r="F140" i="1" s="1"/>
  <c r="D139" i="1"/>
  <c r="E139" i="1" s="1"/>
  <c r="F139" i="1" s="1"/>
  <c r="D138" i="1"/>
  <c r="E138" i="1" s="1"/>
  <c r="F138" i="1" s="1"/>
  <c r="D137" i="1"/>
  <c r="E137" i="1" s="1"/>
  <c r="F137" i="1" s="1"/>
  <c r="D136" i="1"/>
  <c r="E136" i="1" s="1"/>
  <c r="F136" i="1" s="1"/>
  <c r="D135" i="1"/>
  <c r="E135" i="1" s="1"/>
  <c r="F135" i="1" s="1"/>
  <c r="D134" i="1"/>
  <c r="E134" i="1" s="1"/>
  <c r="F134" i="1" s="1"/>
  <c r="D133" i="1"/>
  <c r="E133" i="1" s="1"/>
  <c r="F133" i="1" s="1"/>
  <c r="D132" i="1"/>
  <c r="E132" i="1" s="1"/>
  <c r="F132" i="1" s="1"/>
  <c r="D131" i="1"/>
  <c r="E131" i="1" s="1"/>
  <c r="F131" i="1" s="1"/>
  <c r="D130" i="1"/>
  <c r="E130" i="1" s="1"/>
  <c r="F130" i="1" s="1"/>
  <c r="D120" i="1"/>
  <c r="E120" i="1" s="1"/>
  <c r="F120" i="1" s="1"/>
  <c r="D119" i="1"/>
  <c r="E119" i="1" s="1"/>
  <c r="F119" i="1" s="1"/>
  <c r="D118" i="1"/>
  <c r="E118" i="1" s="1"/>
  <c r="F118" i="1" s="1"/>
  <c r="D117" i="1"/>
  <c r="E117" i="1" s="1"/>
  <c r="F117" i="1" s="1"/>
  <c r="D116" i="1"/>
  <c r="E116" i="1" s="1"/>
  <c r="F116" i="1" s="1"/>
  <c r="D115" i="1"/>
  <c r="E115" i="1" s="1"/>
  <c r="F115" i="1" s="1"/>
  <c r="D114" i="1"/>
  <c r="E114" i="1" s="1"/>
  <c r="F114" i="1" s="1"/>
  <c r="D113" i="1"/>
  <c r="E113" i="1" s="1"/>
  <c r="F113" i="1" s="1"/>
  <c r="D112" i="1"/>
  <c r="E112" i="1" s="1"/>
  <c r="F112" i="1" s="1"/>
  <c r="D111" i="1"/>
  <c r="E111" i="1" s="1"/>
  <c r="F111" i="1" s="1"/>
  <c r="D110" i="1"/>
  <c r="E110" i="1" s="1"/>
  <c r="F110" i="1" s="1"/>
  <c r="D109" i="1"/>
  <c r="E109" i="1" s="1"/>
  <c r="F109" i="1" s="1"/>
  <c r="D108" i="1"/>
  <c r="E108" i="1" s="1"/>
  <c r="F108" i="1" s="1"/>
  <c r="D96" i="1"/>
  <c r="E96" i="1" s="1"/>
  <c r="D95" i="1"/>
  <c r="E95" i="1" s="1"/>
  <c r="F95" i="1" s="1"/>
  <c r="D94" i="1"/>
  <c r="E94" i="1" s="1"/>
  <c r="F94" i="1" s="1"/>
  <c r="D93" i="1"/>
  <c r="E93" i="1" s="1"/>
  <c r="F93" i="1" s="1"/>
  <c r="D92" i="1"/>
  <c r="E92" i="1" s="1"/>
  <c r="F92" i="1" s="1"/>
  <c r="D91" i="1"/>
  <c r="E91" i="1" s="1"/>
  <c r="F91" i="1" s="1"/>
  <c r="D90" i="1"/>
  <c r="E90" i="1" s="1"/>
  <c r="F90" i="1" s="1"/>
  <c r="D89" i="1"/>
  <c r="E89" i="1" s="1"/>
  <c r="F89" i="1" s="1"/>
  <c r="D88" i="1"/>
  <c r="E88" i="1" s="1"/>
  <c r="F88" i="1" s="1"/>
</calcChain>
</file>

<file path=xl/sharedStrings.xml><?xml version="1.0" encoding="utf-8"?>
<sst xmlns="http://schemas.openxmlformats.org/spreadsheetml/2006/main" count="391" uniqueCount="298">
  <si>
    <t>Descripción</t>
  </si>
  <si>
    <t>ADAP H CU 1/2" (5/8 R)</t>
  </si>
  <si>
    <t>ADAP H CU 3/4" (7/8 R)</t>
  </si>
  <si>
    <t>ADAP H CU 1" (1 1/8 R)</t>
  </si>
  <si>
    <t>ADAP H CU 1 1/4" (1 3/8 R)</t>
  </si>
  <si>
    <t>ADAP H CU 1 1/2" (1 5/8 R)</t>
  </si>
  <si>
    <t>ADAP H CU 2" (2 1/8 R)</t>
  </si>
  <si>
    <t>-ADAP H CU 2 1/2" (2 5/8 R)</t>
  </si>
  <si>
    <t>ADAP M CU 1/4"</t>
  </si>
  <si>
    <t>ADAP M CU 3/8" (1/2 R)</t>
  </si>
  <si>
    <t>ADAP M CU 1/2" (5/8 R)</t>
  </si>
  <si>
    <t>ADAP M CU 3/4" (7/8 R)</t>
  </si>
  <si>
    <t>ADAP M CU 1" (1 1/8 R)</t>
  </si>
  <si>
    <t>ADAP M CU 1 1/4" (1 3/8 R)</t>
  </si>
  <si>
    <t>ADAP M CU 1 1/2" (1 5/8 R)</t>
  </si>
  <si>
    <t>ADAP M CU 2" (2 1/8 R)</t>
  </si>
  <si>
    <t>CODO 45° CU 1/4" (3/8 R)</t>
  </si>
  <si>
    <t>CODO 45° CU 3/8" (1/2 R)</t>
  </si>
  <si>
    <t>CODO 45° CU 1/2" (5/8 R)</t>
  </si>
  <si>
    <t>CODO 45° CU 5/8" (3/4 R)</t>
  </si>
  <si>
    <t>CODO 45° CU 3/4" (7/8 R)</t>
  </si>
  <si>
    <t>CODO 45° CU 1" (1 1/8 R)</t>
  </si>
  <si>
    <t>CODO 45° CU 1 1/4" (1 3/8 R)</t>
  </si>
  <si>
    <t>CODO 90° CU 1/4" (3/8 R)</t>
  </si>
  <si>
    <t>CODO 90° CU 3/8" (1/2 R)</t>
  </si>
  <si>
    <t>CODO 90° CU 1/2" (5/8 R)</t>
  </si>
  <si>
    <t>CODO 90° CU 5/8" (3/4 R)</t>
  </si>
  <si>
    <t>CODO 90° CU 3/4" (7/8 R)</t>
  </si>
  <si>
    <t>CODO 90° CU 1" (1 1/8 R)</t>
  </si>
  <si>
    <t>CODO 90° CU 1 1/4" (1 3/8 R)</t>
  </si>
  <si>
    <t>CODO 90° CU 1 1/2" (1 5/8 R)</t>
  </si>
  <si>
    <t>CODO 90° CU 2" (2 1/8 R)</t>
  </si>
  <si>
    <t>CODO 90° CU 2 1/2" (2 5/8 R)</t>
  </si>
  <si>
    <t>CODO 90° CU 4" (4 1/8 R)</t>
  </si>
  <si>
    <t>CODO 90° CU 1/8"</t>
  </si>
  <si>
    <t>-CODO 90° CU 6"</t>
  </si>
  <si>
    <t>RED BUS CU 1" x 1/2" (1 1/8 x 5/8 R)</t>
  </si>
  <si>
    <t>RED BUS CU 1" x 3/4" (1 1/8 x 7/8 R)</t>
  </si>
  <si>
    <t>RED BUS CU 1 1/4" x 1" (1 3/8 x 1 1/8 R)</t>
  </si>
  <si>
    <t>RED BUS CU 1 1/4" x 3/4" (1 3/8 x 7/8 R)</t>
  </si>
  <si>
    <t>RED COPA CU 1/4" x 1/8" (3/8 x 2/8 R)</t>
  </si>
  <si>
    <t>RED COPA CU 1/2" x 1/4" (5/8 x 3/8 R)</t>
  </si>
  <si>
    <t>RED COPA CU 1/2" x 3/8" (5/8 x 1/2 R)</t>
  </si>
  <si>
    <t>RED COPA CU 5/8" x 1/2" (3/4" x 5/8 R)</t>
  </si>
  <si>
    <t>RED COPA CU 5/8" x 3/8" (3/4" x 1/2 R)</t>
  </si>
  <si>
    <t>RED COPA CU 3/4" x 1/2" (7/8 x 5/8 R)</t>
  </si>
  <si>
    <t>RED COPA CU 1" x 1/2" (1 1/8 x 5/8 R)</t>
  </si>
  <si>
    <t>RED COPA CU 1" x 3/4" (1 1/8 x 7/8 R)</t>
  </si>
  <si>
    <t>RED COPA CU 1 1/4" x 1/2" (1 3/8x5/8 R)</t>
  </si>
  <si>
    <t>RED COPA CU 2" x 1 1/2" (2 1/8x1 5/8 R)</t>
  </si>
  <si>
    <t>TAPON CU 1/4" (3/8 R)</t>
  </si>
  <si>
    <t>TAPON CU 3/8" (1/2 R)</t>
  </si>
  <si>
    <t>TAPON CU 1/2" (5/8 R)</t>
  </si>
  <si>
    <t>TAPON CU 3/4" (7/8 R)</t>
  </si>
  <si>
    <t>TAPON CU 1" (1 1/8 R)</t>
  </si>
  <si>
    <t>TAPON CU 1 1/2" (1 5/8 R)</t>
  </si>
  <si>
    <t>TAPON CU 2" (2 1/8 R)</t>
  </si>
  <si>
    <t>TEE CU 1/4" (3/8 R)</t>
  </si>
  <si>
    <t>TEE CU 3/8" (1/2 R)</t>
  </si>
  <si>
    <t>TEE CU 1/2" (5/8 R)</t>
  </si>
  <si>
    <t>TEE CU 5/8" (3/4 R)</t>
  </si>
  <si>
    <t>TEE CU 3/4" (7/8 R)</t>
  </si>
  <si>
    <t>TEE CU 1" (1 1/8 R)</t>
  </si>
  <si>
    <t>TEE CU 1 1/4" CU (1 3/8 R)</t>
  </si>
  <si>
    <t>TEE CU 1 1/2" (1 5/8 R)</t>
  </si>
  <si>
    <t>TEE CU 2" (2 1/8 R)</t>
  </si>
  <si>
    <t>-TEE CU 3" (3 1/8 R)</t>
  </si>
  <si>
    <t>TEE CU 4" (4 1/8 R)</t>
  </si>
  <si>
    <t>TEE RED CU 1/2" x 1/2" x 3/8"</t>
  </si>
  <si>
    <t>TEE RED CU 3/4" x 3/4" x 1/2" (7/8x5/8 R)</t>
  </si>
  <si>
    <t>TEE RED CU 3/4" x 3/4" x 3/8" (7/8x1/2 R)</t>
  </si>
  <si>
    <t>UNION C/T CU 1/4" (3/8 R)</t>
  </si>
  <si>
    <t>UNION C/T CU 3/8" (1/2 R)</t>
  </si>
  <si>
    <t>UNION C/T CU 1/2" (5/8 R)</t>
  </si>
  <si>
    <t>UNION C/T CU 5/8" (3/4 R)</t>
  </si>
  <si>
    <t>UNION C/T CU 3/4" (7/8 R)</t>
  </si>
  <si>
    <t>UNION C/T CU 1" (1 1/8 R)</t>
  </si>
  <si>
    <t>UNION C/T CU 1 1/4" (1 3/8 R)</t>
  </si>
  <si>
    <t>UNION C/T CU 1 1/2" (1 5/8 R)</t>
  </si>
  <si>
    <t>UNION C/T CU 2" (2 1/8 R)</t>
  </si>
  <si>
    <t>UNION C/T CU 1/8'</t>
  </si>
  <si>
    <t>UNIVERSAL 1/2" CU (5/8 R)</t>
  </si>
  <si>
    <t>UNIVERSAL 3/4" CU (7/8 R)</t>
  </si>
  <si>
    <t>UNIVERSAL 1" CU (1 1/8 R)</t>
  </si>
  <si>
    <t>CINTA FOAM</t>
  </si>
  <si>
    <t>Contado antes de IVA</t>
  </si>
  <si>
    <t>TUB ACER CARB PINTADA ROJO CED 40 1" x 5,80 mt</t>
  </si>
  <si>
    <t>TUB ACER CARB RANU ROJA CED 10 1 1/4"x 5,80 mt</t>
  </si>
  <si>
    <t>TUB ACER CARB RANU ROJA CED 10 1 1/2"x 5,80 mt</t>
  </si>
  <si>
    <t>TUB ACER CARB RANU ROJA CED 10 2"x 5,80 mt</t>
  </si>
  <si>
    <t>TUB ACER CARB RANU ROJA CED 10 2 1/2"x 5,80 mt</t>
  </si>
  <si>
    <t>TUB ACER CARB RANU ROJA CED 10 3"x 5,80 mt</t>
  </si>
  <si>
    <t>TUB ACER CARB RANU ROJA CED 10 4"x 5,80 mt</t>
  </si>
  <si>
    <t>TUB ACER CARB RANU ROJA CED 10 6"x 5,80 mt</t>
  </si>
  <si>
    <t>TUB ACER CARB RANU ROJA CED 10 8"x 5,80 mt</t>
  </si>
  <si>
    <t>AISLAMIENTO TÉRMICO 1/4" PARED 1/2" x 1,82 mt</t>
  </si>
  <si>
    <t>AISLAMIENTO TÉRMICO 3/8" PARED 1/2" x 1,82 mt</t>
  </si>
  <si>
    <t>AISLAMIENTO TÉRMICO 1/2" PARED 1/2" x 1,82 mt</t>
  </si>
  <si>
    <t>AISLAMIENTO TÉRMICO 5/8" PARED 1/2" x 1,82 mt</t>
  </si>
  <si>
    <t>AISLAMIENTO TÉRMICO 3/4" PARED 1/2" x 1,82 mt</t>
  </si>
  <si>
    <t>AISLAMIENTO TÉRMICO 7/8" PARED 1/2" x 1,82 mt</t>
  </si>
  <si>
    <t>AISLAMIENTO TÉRMICO 1 1/8" PARED 1/2" x 1,82 mt</t>
  </si>
  <si>
    <t>AISLAMIENTO TÉRMICO 1 3/8" PARED 1/2" x 1,82 mt</t>
  </si>
  <si>
    <t>AISLAMIENTO TÉRMICO 1 5/8" PARED 1/2" x 1,82 mt</t>
  </si>
  <si>
    <t>AISLAMIENTO TÉRMICO 2 1/8" PARED 1/2" x 1,82 mt</t>
  </si>
  <si>
    <t>AISLAMIENTO TÉRMICO 2 5/8" PARED 1/2" x 1,82 mt</t>
  </si>
  <si>
    <t>TC24</t>
  </si>
  <si>
    <t>TCF1/4</t>
  </si>
  <si>
    <t>TCF2</t>
  </si>
  <si>
    <t>TCF3</t>
  </si>
  <si>
    <t>TCF4</t>
  </si>
  <si>
    <t>TCF5</t>
  </si>
  <si>
    <t>TCF6</t>
  </si>
  <si>
    <t>TCF7</t>
  </si>
  <si>
    <t>TCF8</t>
  </si>
  <si>
    <t>TCF9</t>
  </si>
  <si>
    <t>TCF10</t>
  </si>
  <si>
    <t>TCR11</t>
  </si>
  <si>
    <t>TCR12</t>
  </si>
  <si>
    <t>TCR13</t>
  </si>
  <si>
    <t>TCR14</t>
  </si>
  <si>
    <t>TCRR15</t>
  </si>
  <si>
    <t>TCR16</t>
  </si>
  <si>
    <t>TCR17</t>
  </si>
  <si>
    <t>TCR18</t>
  </si>
  <si>
    <t>TCR19</t>
  </si>
  <si>
    <t>TCR20</t>
  </si>
  <si>
    <t>TCR21</t>
  </si>
  <si>
    <t>TCL22</t>
  </si>
  <si>
    <t>TCL23</t>
  </si>
  <si>
    <t>TCL25</t>
  </si>
  <si>
    <t>TCL26</t>
  </si>
  <si>
    <t>TCL27</t>
  </si>
  <si>
    <t>TCL28</t>
  </si>
  <si>
    <t>TCL29</t>
  </si>
  <si>
    <t>TCL30</t>
  </si>
  <si>
    <t>TCL31</t>
  </si>
  <si>
    <t>TCL32</t>
  </si>
  <si>
    <t>TCL33</t>
  </si>
  <si>
    <t>TCL34</t>
  </si>
  <si>
    <t>ACC35</t>
  </si>
  <si>
    <t>ACC36</t>
  </si>
  <si>
    <t>ACC37</t>
  </si>
  <si>
    <t>ACC38</t>
  </si>
  <si>
    <t>ACC39</t>
  </si>
  <si>
    <t>ACC40</t>
  </si>
  <si>
    <t>ACC41</t>
  </si>
  <si>
    <t>ACC42</t>
  </si>
  <si>
    <t>ACC43</t>
  </si>
  <si>
    <t>AISL 44</t>
  </si>
  <si>
    <t>AISL 46</t>
  </si>
  <si>
    <t>AISL 47</t>
  </si>
  <si>
    <t>AISL 48</t>
  </si>
  <si>
    <t>AISL 49</t>
  </si>
  <si>
    <t>AISL 50</t>
  </si>
  <si>
    <t>AISL 51</t>
  </si>
  <si>
    <t>AISL 52</t>
  </si>
  <si>
    <t>AISL 53</t>
  </si>
  <si>
    <t>AISL 54</t>
  </si>
  <si>
    <t>AISL 45</t>
  </si>
  <si>
    <t>CF 55</t>
  </si>
  <si>
    <t>TGG56</t>
  </si>
  <si>
    <t>TGG57</t>
  </si>
  <si>
    <t>TGG58</t>
  </si>
  <si>
    <t>TGG59</t>
  </si>
  <si>
    <t>TGG60</t>
  </si>
  <si>
    <t>TGG61</t>
  </si>
  <si>
    <t>TPAPG 62</t>
  </si>
  <si>
    <t>TPAPG 63</t>
  </si>
  <si>
    <t>TPAPG 64</t>
  </si>
  <si>
    <t>TPAPG 65</t>
  </si>
  <si>
    <t>TUB CU FLEX ACR 1/8" ( ML)</t>
  </si>
  <si>
    <t>TUB CU FLEX ACR 3/16" (ML)</t>
  </si>
  <si>
    <t>TUB CU FLEX ACR 1/4" ( ML)</t>
  </si>
  <si>
    <t>TUB CU FLEX ACR 5/16" ( ML)</t>
  </si>
  <si>
    <t>TUB CU FLEX ACR 3/8" ( ML)</t>
  </si>
  <si>
    <t>TUB CU FLEX ACR 1/2" ( ML)</t>
  </si>
  <si>
    <t>TUB CU FLEX ACR 5/8" ( ML)</t>
  </si>
  <si>
    <t>TUB CU FLEX ACR 3/4" ( ML)</t>
  </si>
  <si>
    <t>TUB CU FLEX ACR 7/8" ( ML)</t>
  </si>
  <si>
    <t>TUB CU FLEX ACR 1 1/8" ( ML)</t>
  </si>
  <si>
    <t>TUB CU RIG K 1/4" (3/8 R) (TUBO DE 6 ML)</t>
  </si>
  <si>
    <t>TUB CU RIG K 2 1/2" (2 5/8 R) (TUBO DE 6 ML)</t>
  </si>
  <si>
    <t>TUB CU RIG K 3/8" (1/2 R) (TUBO DE 6 ML)</t>
  </si>
  <si>
    <t>TUB CU RIG K 1/2" (5/8 R) (TUBO DE 6 ML)</t>
  </si>
  <si>
    <t>TUB CU RIG K 5/8" (3/4 R) (TUBO DE 6 ML)</t>
  </si>
  <si>
    <t>TUB CU RIG K 3/4" (7/8 R) (TUBO DE 6 ML)</t>
  </si>
  <si>
    <t>TUB CU RIG K 1" (TUBO DE 6 ML)</t>
  </si>
  <si>
    <t>TUB CU RIG K 1 1/4" (1 3/8 R) (TUBO DE 6 ML)</t>
  </si>
  <si>
    <t>TUB CU RIG K 1 1/2" (1 5/8 R) (TUBO DE 6 ML)</t>
  </si>
  <si>
    <t>TUB CU RIG K 2" (2 1/8 R) (TUBO DE 6 ML)</t>
  </si>
  <si>
    <t>TUB CU RIG K 3" (3 1/8 R)(TUBO DE 6 ML)</t>
  </si>
  <si>
    <t>TUB CU RIG L 1/4" (3/8 R)(TUBO DE 6 ML)</t>
  </si>
  <si>
    <t>TUB CU RIG L 3/8" (1/2 R)(TUBO DE 6 ML)</t>
  </si>
  <si>
    <t>TUB CU RIG L 1/2" (5/8 R)(TUBO DE 6 ML)</t>
  </si>
  <si>
    <t>TUB CU RIG L 5/8" (3/4 R)(TUBO DE 6 ML)</t>
  </si>
  <si>
    <t>TUB CU RIG L 3/4" (7/8 R)(TUBO DE 6 ML)</t>
  </si>
  <si>
    <t>TUB CU RIG L 1" (1 1/8 R)(TUBO DE 6 ML)</t>
  </si>
  <si>
    <t>TUB CU RIG L 1 1/4" (1 3/8 R)(TUBO DE 6 ML)</t>
  </si>
  <si>
    <t>TUB CU RIG L 1 1/2" (1 5/8 R)(TUBO DE 6 ML)</t>
  </si>
  <si>
    <t>TUB CU RIG L 2" (2 1/8 R)(TUBO DE 6 ML)</t>
  </si>
  <si>
    <t>TUB CU RIG L 2 1/2" (2 5/8 R)(TUBO DE 6 ML)</t>
  </si>
  <si>
    <t>TUB CU RIG L 3" (3 1/8 R)(TUBO DE 6 ML)</t>
  </si>
  <si>
    <t>TUB CU RIG L 4" (4 1/8 R)(TUBO DE 6 ML)</t>
  </si>
  <si>
    <t>TUB CU RIG L 6" (6 1/8 R)(TUBO DE 6 ML)</t>
  </si>
  <si>
    <t xml:space="preserve">ML SIN  IVA </t>
  </si>
  <si>
    <t>ML CON IVA</t>
  </si>
  <si>
    <t>ML AUMENTO DEL 8% para 2026</t>
  </si>
  <si>
    <t>ML = METRO LINEAL</t>
  </si>
  <si>
    <t>TUB GALVANIZADA GAS 1/2" CED 40 (TUBO DE 6 ML)</t>
  </si>
  <si>
    <t>TUB GALVANIZADA GAS 3/4" CED 40(TUBO DE 6 ML)</t>
  </si>
  <si>
    <t>TUB GALVANIZADA GAS 1" CED 40(TUBO DE 6 ML)</t>
  </si>
  <si>
    <t>TUB GALVANIZADA GAS 1 1/4" CED 40(TUBO DE 6 ML)</t>
  </si>
  <si>
    <t>TUB GALVANIZADA GAS 1 1/2" CED 40(TUBO DE 6 ML)</t>
  </si>
  <si>
    <t>TUB GALVANIZADA GAS 2" CED 40(TUBO DE 6 ML)</t>
  </si>
  <si>
    <t>TUB 1216 PE-AL-PE GAS (ML)</t>
  </si>
  <si>
    <t>TUB 1418 PE-AL-PE GAS (ML)</t>
  </si>
  <si>
    <t>TUB 1620 PE-AL-PE GAS (ML)</t>
  </si>
  <si>
    <t>TUB 2025 PE-AL-PE GAS (ML)</t>
  </si>
  <si>
    <t>TUBERIAS DE COBRE</t>
  </si>
  <si>
    <t xml:space="preserve">ML SIN IVA </t>
  </si>
  <si>
    <t xml:space="preserve">UNIDAD </t>
  </si>
  <si>
    <t>UND</t>
  </si>
  <si>
    <t>ACCESORIOS DE COBRE</t>
  </si>
  <si>
    <t>ACC1</t>
  </si>
  <si>
    <t>ACC2</t>
  </si>
  <si>
    <t>ACC3</t>
  </si>
  <si>
    <t>ACC4</t>
  </si>
  <si>
    <t>ACC5</t>
  </si>
  <si>
    <t>ACC6</t>
  </si>
  <si>
    <t>ACC7</t>
  </si>
  <si>
    <t>ACC8</t>
  </si>
  <si>
    <t>ACC9</t>
  </si>
  <si>
    <t>ACC10</t>
  </si>
  <si>
    <t>ACC11</t>
  </si>
  <si>
    <t>ACC12</t>
  </si>
  <si>
    <t>ACC13</t>
  </si>
  <si>
    <t>ACC14</t>
  </si>
  <si>
    <t>ACC15</t>
  </si>
  <si>
    <t>ACC16</t>
  </si>
  <si>
    <t>ACC17</t>
  </si>
  <si>
    <t>ACC18</t>
  </si>
  <si>
    <t>ACC19</t>
  </si>
  <si>
    <t>ACC20</t>
  </si>
  <si>
    <t>ACC21</t>
  </si>
  <si>
    <t>ACC22</t>
  </si>
  <si>
    <t>ACC23</t>
  </si>
  <si>
    <t>ACC24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</si>
  <si>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</si>
  <si>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</si>
  <si>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</si>
  <si>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</si>
  <si>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</si>
  <si>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</si>
  <si>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</si>
  <si>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</si>
  <si>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ACC33</t>
  </si>
  <si>
    <t>ACC34</t>
  </si>
  <si>
    <t>ACC44</t>
  </si>
  <si>
    <t>ACC45</t>
  </si>
  <si>
    <t>ACC46</t>
  </si>
  <si>
    <t>ACC47</t>
  </si>
  <si>
    <t>ACC48</t>
  </si>
  <si>
    <t>ACC49</t>
  </si>
  <si>
    <t>ACC50</t>
  </si>
  <si>
    <t>ACC51</t>
  </si>
  <si>
    <t>ACC52</t>
  </si>
  <si>
    <t>ACC53</t>
  </si>
  <si>
    <t>ACC54</t>
  </si>
  <si>
    <t>ACC55</t>
  </si>
  <si>
    <t>ACC56</t>
  </si>
  <si>
    <t>ACC57</t>
  </si>
  <si>
    <t>ACC58</t>
  </si>
  <si>
    <t>ACC59</t>
  </si>
  <si>
    <t>ACC60</t>
  </si>
  <si>
    <t>ACC61</t>
  </si>
  <si>
    <t>ACC62</t>
  </si>
  <si>
    <t>ACC63</t>
  </si>
  <si>
    <t>ACC64</t>
  </si>
  <si>
    <t>ACC65</t>
  </si>
  <si>
    <t>ACC66</t>
  </si>
  <si>
    <t>ACC67</t>
  </si>
  <si>
    <t>ACC68</t>
  </si>
  <si>
    <t>ACC69</t>
  </si>
  <si>
    <t>ACC70</t>
  </si>
  <si>
    <t>ACC71</t>
  </si>
  <si>
    <t>ACC72</t>
  </si>
  <si>
    <t>ACC73</t>
  </si>
  <si>
    <t>ACC74</t>
  </si>
  <si>
    <t>ACC75</t>
  </si>
  <si>
    <t>ACC76</t>
  </si>
  <si>
    <t>ACC77</t>
  </si>
  <si>
    <t>ACC78</t>
  </si>
  <si>
    <t>ACC79</t>
  </si>
  <si>
    <t>ACC80</t>
  </si>
  <si>
    <t>ACC81</t>
  </si>
  <si>
    <t>ACC82</t>
  </si>
  <si>
    <t>ACC83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</si>
</sst>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Fira Code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Border="1"/>
    <xf numFmtId="164" fontId="3" fillId="0" borderId="1" xfId="1" applyNumberFormat="1" applyFont="1" applyBorder="1"/>
    <xf numFmtId="0" fontId="3" fillId="0" borderId="0" xfId="0" applyFont="1"/>
    <xf numFmtId="0" fontId="3" fillId="2" borderId="1" xfId="0" applyFont="1" applyFill="1" applyBorder="1"/>
    <xf numFmtId="164" fontId="3" fillId="2" borderId="1" xfId="1" applyNumberFormat="1" applyFont="1" applyFill="1" applyBorder="1"/>
    <xf numFmtId="0" fontId="3" fillId="3" borderId="1" xfId="0" applyFont="1" applyFill="1" applyBorder="1"/>
    <xf numFmtId="164" fontId="3" fillId="3" borderId="1" xfId="1" applyNumberFormat="1" applyFont="1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0" fontId="3" fillId="4" borderId="1" xfId="0" applyFont="1" applyFill="1" applyBorder="1"/>
    <xf numFmtId="164" fontId="3" fillId="4" borderId="1" xfId="1" applyNumberFormat="1" applyFont="1" applyFill="1" applyBorder="1"/>
    <xf numFmtId="164" fontId="0" fillId="4" borderId="1" xfId="0" applyNumberFormat="1" applyFill="1" applyBorder="1"/>
    <xf numFmtId="0" fontId="3" fillId="5" borderId="1" xfId="0" applyFont="1" applyFill="1" applyBorder="1"/>
    <xf numFmtId="164" fontId="3" fillId="5" borderId="1" xfId="1" applyNumberFormat="1" applyFont="1" applyFill="1" applyBorder="1"/>
    <xf numFmtId="164" fontId="0" fillId="0" borderId="0" xfId="0" applyNumberFormat="1"/>
    <xf numFmtId="164" fontId="0" fillId="2" borderId="0" xfId="0" applyNumberFormat="1" applyFill="1"/>
    <xf numFmtId="0" fontId="4" fillId="0" borderId="0" xfId="0" applyFont="1"/>
    <xf numFmtId="164" fontId="6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3" fillId="7" borderId="1" xfId="0" applyFont="1" applyFill="1" applyBorder="1"/>
    <xf numFmtId="164" fontId="3" fillId="7" borderId="1" xfId="1" applyNumberFormat="1" applyFont="1" applyFill="1" applyBorder="1"/>
    <xf numFmtId="0" fontId="3" fillId="7" borderId="2" xfId="0" applyFont="1" applyFill="1" applyBorder="1"/>
    <xf numFmtId="164" fontId="3" fillId="7" borderId="2" xfId="1" applyNumberFormat="1" applyFont="1" applyFill="1" applyBorder="1"/>
    <xf numFmtId="0" fontId="0" fillId="7" borderId="1" xfId="0" applyFill="1" applyBorder="1"/>
    <xf numFmtId="0" fontId="0" fillId="8" borderId="1" xfId="0" applyFill="1" applyBorder="1"/>
    <xf numFmtId="0" fontId="3" fillId="8" borderId="1" xfId="0" applyFont="1" applyFill="1" applyBorder="1"/>
    <xf numFmtId="164" fontId="3" fillId="8" borderId="1" xfId="1" applyNumberFormat="1" applyFont="1" applyFill="1" applyBorder="1"/>
    <xf numFmtId="164" fontId="3" fillId="0" borderId="2" xfId="1" applyNumberFormat="1" applyFont="1" applyBorder="1"/>
    <xf numFmtId="164" fontId="3" fillId="2" borderId="3" xfId="1" applyNumberFormat="1" applyFont="1" applyFill="1" applyBorder="1"/>
    <xf numFmtId="164" fontId="0" fillId="2" borderId="3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3" fillId="0" borderId="1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8" borderId="0" xfId="0" applyFill="1"/>
    <xf numFmtId="0" fontId="3" fillId="8" borderId="1" xfId="0" applyFont="1" applyFill="1" applyBorder="1" applyAlignment="1">
      <alignment vertical="center"/>
    </xf>
    <xf numFmtId="0" fontId="0" fillId="8" borderId="1" xfId="0" applyFill="1" applyBorder="1" applyAlignment="1">
      <alignment wrapText="1"/>
    </xf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10" borderId="1" xfId="0" applyFill="1" applyBorder="1"/>
    <xf numFmtId="0" fontId="3" fillId="10" borderId="1" xfId="0" applyFont="1" applyFill="1" applyBorder="1"/>
    <xf numFmtId="164" fontId="3" fillId="10" borderId="1" xfId="1" applyNumberFormat="1" applyFont="1" applyFill="1" applyBorder="1"/>
    <xf numFmtId="164" fontId="0" fillId="10" borderId="1" xfId="0" applyNumberFormat="1" applyFill="1" applyBorder="1"/>
    <xf numFmtId="0" fontId="0" fillId="4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F159" sqref="F159"/>
    </sheetView>
  </sheetViews>
  <sheetFormatPr baseColWidth="10" defaultColWidth="9.09765625" defaultRowHeight="14" x14ac:dyDescent="0.3"/>
  <cols>
    <col min="1" max="1" width="9.3984375" customWidth="1"/>
    <col min="2" max="2" width="45.69921875" style="3" bestFit="1" customWidth="1" collapsed="1"/>
    <col min="3" max="3" width="10.296875" style="3" bestFit="1" customWidth="1"/>
    <col min="4" max="4" width="10.796875" customWidth="1"/>
    <col min="5" max="5" width="11.59765625" customWidth="1"/>
    <col min="6" max="6" width="15.69921875" customWidth="1"/>
    <col min="8" max="8" width="11.09765625" customWidth="1"/>
    <col min="9" max="9" width="11" bestFit="1" customWidth="1"/>
    <col min="10" max="10" width="9.296875" bestFit="1" customWidth="1"/>
  </cols>
  <sheetData>
    <row r="1" spans="1:4" ht="29.05" customHeight="1" thickBot="1" x14ac:dyDescent="0.35">
      <c r="A1" s="39" t="s">
        <v>223</v>
      </c>
      <c r="B1" s="40"/>
      <c r="C1" s="40"/>
      <c r="D1" s="41"/>
    </row>
    <row r="2" spans="1:4" ht="24.75" x14ac:dyDescent="0.3">
      <c r="B2" s="34" t="s">
        <v>0</v>
      </c>
      <c r="C2" s="35" t="s">
        <v>221</v>
      </c>
      <c r="D2" s="35" t="s">
        <v>85</v>
      </c>
    </row>
    <row r="3" spans="1:4" x14ac:dyDescent="0.3">
      <c r="A3" s="38" t="s">
        <v>224</v>
      </c>
      <c r="B3" s="1" t="s">
        <v>1</v>
      </c>
      <c r="C3" s="33" t="s">
        <v>222</v>
      </c>
      <c r="D3" s="2">
        <v>3621</v>
      </c>
    </row>
    <row r="4" spans="1:4" x14ac:dyDescent="0.3">
      <c r="A4" s="37" t="s">
        <v>225</v>
      </c>
      <c r="B4" s="1" t="s">
        <v>2</v>
      </c>
      <c r="C4" s="33" t="s">
        <v>222</v>
      </c>
      <c r="D4" s="2">
        <v>6355.5</v>
      </c>
    </row>
    <row r="5" spans="1:4" x14ac:dyDescent="0.3">
      <c r="A5" s="38" t="s">
        <v>226</v>
      </c>
      <c r="B5" s="1" t="s">
        <v>3</v>
      </c>
      <c r="C5" s="33" t="s">
        <v>222</v>
      </c>
      <c r="D5" s="2">
        <v>13053.75</v>
      </c>
    </row>
    <row r="6" spans="1:4" x14ac:dyDescent="0.3">
      <c r="A6" s="37" t="s">
        <v>227</v>
      </c>
      <c r="B6" s="1" t="s">
        <v>4</v>
      </c>
      <c r="C6" s="33" t="s">
        <v>222</v>
      </c>
      <c r="D6" s="2">
        <v>17208</v>
      </c>
    </row>
    <row r="7" spans="1:4" x14ac:dyDescent="0.3">
      <c r="A7" s="38" t="s">
        <v>228</v>
      </c>
      <c r="B7" s="1" t="s">
        <v>5</v>
      </c>
      <c r="C7" s="33" t="s">
        <v>222</v>
      </c>
      <c r="D7" s="2">
        <v>24579</v>
      </c>
    </row>
    <row r="8" spans="1:4" x14ac:dyDescent="0.3">
      <c r="A8" s="37" t="s">
        <v>229</v>
      </c>
      <c r="B8" s="1" t="s">
        <v>6</v>
      </c>
      <c r="C8" s="33" t="s">
        <v>222</v>
      </c>
      <c r="D8" s="2">
        <v>34752.75</v>
      </c>
    </row>
    <row r="9" spans="1:4" x14ac:dyDescent="0.3">
      <c r="A9" s="38" t="s">
        <v>230</v>
      </c>
      <c r="B9" s="1" t="s">
        <v>7</v>
      </c>
      <c r="C9" s="33" t="s">
        <v>222</v>
      </c>
      <c r="D9" s="2">
        <v>94120.5</v>
      </c>
    </row>
    <row r="10" spans="1:4" x14ac:dyDescent="0.3">
      <c r="A10" s="37" t="s">
        <v>231</v>
      </c>
      <c r="B10" s="1" t="s">
        <v>8</v>
      </c>
      <c r="C10" s="33" t="s">
        <v>222</v>
      </c>
      <c r="D10" s="2">
        <v>3666</v>
      </c>
    </row>
    <row r="11" spans="1:4" x14ac:dyDescent="0.3">
      <c r="A11" s="38" t="s">
        <v>232</v>
      </c>
      <c r="B11" s="1" t="s">
        <v>9</v>
      </c>
      <c r="C11" s="33" t="s">
        <v>222</v>
      </c>
      <c r="D11" s="2">
        <v>5706</v>
      </c>
    </row>
    <row r="12" spans="1:4" x14ac:dyDescent="0.3">
      <c r="A12" s="37" t="s">
        <v>233</v>
      </c>
      <c r="B12" s="1" t="s">
        <v>10</v>
      </c>
      <c r="C12" s="33" t="s">
        <v>222</v>
      </c>
      <c r="D12" s="2">
        <v>3577.5</v>
      </c>
    </row>
    <row r="13" spans="1:4" x14ac:dyDescent="0.3">
      <c r="A13" s="38" t="s">
        <v>234</v>
      </c>
      <c r="B13" s="1" t="s">
        <v>11</v>
      </c>
      <c r="C13" s="33" t="s">
        <v>222</v>
      </c>
      <c r="D13" s="2">
        <v>6284.25</v>
      </c>
    </row>
    <row r="14" spans="1:4" x14ac:dyDescent="0.3">
      <c r="A14" s="37" t="s">
        <v>235</v>
      </c>
      <c r="B14" s="1" t="s">
        <v>12</v>
      </c>
      <c r="C14" s="33" t="s">
        <v>222</v>
      </c>
      <c r="D14" s="2">
        <v>11275.5</v>
      </c>
    </row>
    <row r="15" spans="1:4" x14ac:dyDescent="0.3">
      <c r="A15" s="38" t="s">
        <v>236</v>
      </c>
      <c r="B15" s="1" t="s">
        <v>13</v>
      </c>
      <c r="C15" s="33" t="s">
        <v>222</v>
      </c>
      <c r="D15" s="2">
        <v>17008.5</v>
      </c>
    </row>
    <row r="16" spans="1:4" x14ac:dyDescent="0.3">
      <c r="A16" s="37" t="s">
        <v>237</v>
      </c>
      <c r="B16" s="1" t="s">
        <v>14</v>
      </c>
      <c r="C16" s="33" t="s">
        <v>222</v>
      </c>
      <c r="D16" s="2">
        <v>24228.75</v>
      </c>
    </row>
    <row r="17" spans="1:4" x14ac:dyDescent="0.3">
      <c r="A17" s="38" t="s">
        <v>238</v>
      </c>
      <c r="B17" s="1" t="s">
        <v>15</v>
      </c>
      <c r="C17" s="33" t="s">
        <v>222</v>
      </c>
      <c r="D17" s="2">
        <v>34481.25</v>
      </c>
    </row>
    <row r="18" spans="1:4" x14ac:dyDescent="0.3">
      <c r="A18" s="37" t="s">
        <v>239</v>
      </c>
      <c r="B18" s="1" t="s">
        <v>16</v>
      </c>
      <c r="C18" s="33" t="s">
        <v>222</v>
      </c>
      <c r="D18" s="2">
        <v>1006.5</v>
      </c>
    </row>
    <row r="19" spans="1:4" x14ac:dyDescent="0.3">
      <c r="A19" s="38" t="s">
        <v>240</v>
      </c>
      <c r="B19" s="1" t="s">
        <v>17</v>
      </c>
      <c r="C19" s="33" t="s">
        <v>222</v>
      </c>
      <c r="D19" s="2">
        <v>1557.75</v>
      </c>
    </row>
    <row r="20" spans="1:4" x14ac:dyDescent="0.3">
      <c r="A20" s="37" t="s">
        <v>241</v>
      </c>
      <c r="B20" s="1" t="s">
        <v>18</v>
      </c>
      <c r="C20" s="33" t="s">
        <v>222</v>
      </c>
      <c r="D20" s="2">
        <v>1291.5</v>
      </c>
    </row>
    <row r="21" spans="1:4" x14ac:dyDescent="0.3">
      <c r="A21" s="38" t="s">
        <v>242</v>
      </c>
      <c r="B21" s="1" t="s">
        <v>19</v>
      </c>
      <c r="C21" s="33" t="s">
        <v>222</v>
      </c>
      <c r="D21" s="2">
        <v>2756.25</v>
      </c>
    </row>
    <row r="22" spans="1:4" x14ac:dyDescent="0.3">
      <c r="A22" s="37" t="s">
        <v>243</v>
      </c>
      <c r="B22" s="1" t="s">
        <v>20</v>
      </c>
      <c r="C22" s="33" t="s">
        <v>222</v>
      </c>
      <c r="D22" s="2">
        <v>3341.25</v>
      </c>
    </row>
    <row r="23" spans="1:4" x14ac:dyDescent="0.3">
      <c r="A23" s="38" t="s">
        <v>244</v>
      </c>
      <c r="B23" s="1" t="s">
        <v>21</v>
      </c>
      <c r="C23" s="33" t="s">
        <v>222</v>
      </c>
      <c r="D23" s="2">
        <v>6300</v>
      </c>
    </row>
    <row r="24" spans="1:4" x14ac:dyDescent="0.3">
      <c r="A24" s="37" t="s">
        <v>245</v>
      </c>
      <c r="B24" s="1" t="s">
        <v>22</v>
      </c>
      <c r="C24" s="33" t="s">
        <v>222</v>
      </c>
      <c r="D24" s="2">
        <v>8660.25</v>
      </c>
    </row>
    <row r="25" spans="1:4" x14ac:dyDescent="0.3">
      <c r="A25" s="38" t="s">
        <v>246</v>
      </c>
      <c r="B25" s="1" t="s">
        <v>23</v>
      </c>
      <c r="C25" s="33" t="s">
        <v>222</v>
      </c>
      <c r="D25" s="2">
        <v>1055.25</v>
      </c>
    </row>
    <row r="26" spans="1:4" x14ac:dyDescent="0.3">
      <c r="A26" s="37" t="s">
        <v>247</v>
      </c>
      <c r="B26" s="1" t="s">
        <v>24</v>
      </c>
      <c r="C26" s="33" t="s">
        <v>222</v>
      </c>
      <c r="D26" s="2">
        <v>1190.25</v>
      </c>
    </row>
    <row r="27" spans="1:4" x14ac:dyDescent="0.3">
      <c r="A27" s="38" t="s">
        <v>248</v>
      </c>
      <c r="B27" s="1" t="s">
        <v>25</v>
      </c>
      <c r="C27" s="33" t="s">
        <v>222</v>
      </c>
      <c r="D27" s="2">
        <v>1503.75</v>
      </c>
    </row>
    <row r="28" spans="1:4" x14ac:dyDescent="0.3">
      <c r="A28" s="37" t="s">
        <v>249</v>
      </c>
      <c r="B28" s="1" t="s">
        <v>26</v>
      </c>
      <c r="C28" s="33" t="s">
        <v>222</v>
      </c>
      <c r="D28" s="2">
        <v>2998.5</v>
      </c>
    </row>
    <row r="29" spans="1:4" x14ac:dyDescent="0.3">
      <c r="A29" s="38" t="s">
        <v>250</v>
      </c>
      <c r="B29" s="1" t="s">
        <v>27</v>
      </c>
      <c r="C29" s="33" t="s">
        <v>222</v>
      </c>
      <c r="D29" s="2">
        <v>3357.75</v>
      </c>
    </row>
    <row r="30" spans="1:4" x14ac:dyDescent="0.3">
      <c r="A30" s="37" t="s">
        <v>251</v>
      </c>
      <c r="B30" s="1" t="s">
        <v>28</v>
      </c>
      <c r="C30" s="33" t="s">
        <v>222</v>
      </c>
      <c r="D30" s="2">
        <v>6028.5</v>
      </c>
    </row>
    <row r="31" spans="1:4" x14ac:dyDescent="0.3">
      <c r="A31" s="38" t="s">
        <v>252</v>
      </c>
      <c r="B31" s="1" t="s">
        <v>29</v>
      </c>
      <c r="C31" s="33" t="s">
        <v>222</v>
      </c>
      <c r="D31" s="2">
        <v>9704.25</v>
      </c>
    </row>
    <row r="32" spans="1:4" x14ac:dyDescent="0.3">
      <c r="A32" s="37" t="s">
        <v>253</v>
      </c>
      <c r="B32" s="1" t="s">
        <v>30</v>
      </c>
      <c r="C32" s="33" t="s">
        <v>222</v>
      </c>
      <c r="D32" s="2">
        <v>17280</v>
      </c>
    </row>
    <row r="33" spans="1:4" x14ac:dyDescent="0.3">
      <c r="A33" s="38" t="s">
        <v>254</v>
      </c>
      <c r="B33" s="1" t="s">
        <v>31</v>
      </c>
      <c r="C33" s="33" t="s">
        <v>222</v>
      </c>
      <c r="D33" s="2">
        <v>32890.5</v>
      </c>
    </row>
    <row r="34" spans="1:4" x14ac:dyDescent="0.3">
      <c r="A34" s="37" t="s">
        <v>255</v>
      </c>
      <c r="B34" s="1" t="s">
        <v>32</v>
      </c>
      <c r="C34" s="33" t="s">
        <v>222</v>
      </c>
      <c r="D34" s="2">
        <v>64210.5</v>
      </c>
    </row>
    <row r="35" spans="1:4" x14ac:dyDescent="0.3">
      <c r="A35" s="38" t="s">
        <v>256</v>
      </c>
      <c r="B35" s="1" t="s">
        <v>33</v>
      </c>
      <c r="C35" s="33" t="s">
        <v>222</v>
      </c>
      <c r="D35" s="2">
        <v>230326.5</v>
      </c>
    </row>
    <row r="36" spans="1:4" x14ac:dyDescent="0.3">
      <c r="A36" s="37" t="s">
        <v>257</v>
      </c>
      <c r="B36" s="1" t="s">
        <v>34</v>
      </c>
      <c r="C36" s="33" t="s">
        <v>222</v>
      </c>
      <c r="D36" s="2">
        <v>783.75</v>
      </c>
    </row>
    <row r="37" spans="1:4" x14ac:dyDescent="0.3">
      <c r="A37" s="38" t="s">
        <v>140</v>
      </c>
      <c r="B37" s="1" t="s">
        <v>35</v>
      </c>
      <c r="C37" s="33" t="s">
        <v>222</v>
      </c>
      <c r="D37" s="2">
        <v>839298</v>
      </c>
    </row>
    <row r="38" spans="1:4" x14ac:dyDescent="0.3">
      <c r="A38" s="37" t="s">
        <v>141</v>
      </c>
      <c r="B38" s="1" t="s">
        <v>36</v>
      </c>
      <c r="C38" s="33" t="s">
        <v>222</v>
      </c>
      <c r="D38" s="2">
        <v>4091.25</v>
      </c>
    </row>
    <row r="39" spans="1:4" x14ac:dyDescent="0.3">
      <c r="A39" s="38" t="s">
        <v>142</v>
      </c>
      <c r="B39" s="1" t="s">
        <v>37</v>
      </c>
      <c r="C39" s="33" t="s">
        <v>222</v>
      </c>
      <c r="D39" s="2">
        <v>4458</v>
      </c>
    </row>
    <row r="40" spans="1:4" x14ac:dyDescent="0.3">
      <c r="A40" s="37" t="s">
        <v>143</v>
      </c>
      <c r="B40" s="1" t="s">
        <v>38</v>
      </c>
      <c r="C40" s="33" t="s">
        <v>222</v>
      </c>
      <c r="D40" s="2">
        <v>6714.75</v>
      </c>
    </row>
    <row r="41" spans="1:4" x14ac:dyDescent="0.3">
      <c r="A41" s="38" t="s">
        <v>144</v>
      </c>
      <c r="B41" s="1" t="s">
        <v>39</v>
      </c>
      <c r="C41" s="33" t="s">
        <v>222</v>
      </c>
      <c r="D41" s="2">
        <v>6100.5</v>
      </c>
    </row>
    <row r="42" spans="1:4" x14ac:dyDescent="0.3">
      <c r="A42" s="37" t="s">
        <v>145</v>
      </c>
      <c r="B42" s="1" t="s">
        <v>40</v>
      </c>
      <c r="C42" s="33" t="s">
        <v>222</v>
      </c>
      <c r="D42" s="2">
        <v>989.25</v>
      </c>
    </row>
    <row r="43" spans="1:4" x14ac:dyDescent="0.3">
      <c r="A43" s="38" t="s">
        <v>146</v>
      </c>
      <c r="B43" s="1" t="s">
        <v>41</v>
      </c>
      <c r="C43" s="33" t="s">
        <v>222</v>
      </c>
      <c r="D43" s="2">
        <v>1387.5</v>
      </c>
    </row>
    <row r="44" spans="1:4" x14ac:dyDescent="0.3">
      <c r="A44" s="37" t="s">
        <v>147</v>
      </c>
      <c r="B44" s="1" t="s">
        <v>42</v>
      </c>
      <c r="C44" s="33" t="s">
        <v>222</v>
      </c>
      <c r="D44" s="2">
        <v>1221</v>
      </c>
    </row>
    <row r="45" spans="1:4" x14ac:dyDescent="0.3">
      <c r="A45" s="38" t="s">
        <v>148</v>
      </c>
      <c r="B45" s="1" t="s">
        <v>43</v>
      </c>
      <c r="C45" s="33" t="s">
        <v>222</v>
      </c>
      <c r="D45" s="2">
        <v>1899</v>
      </c>
    </row>
    <row r="46" spans="1:4" x14ac:dyDescent="0.3">
      <c r="A46" s="37" t="s">
        <v>258</v>
      </c>
      <c r="B46" s="1" t="s">
        <v>44</v>
      </c>
      <c r="C46" s="33" t="s">
        <v>222</v>
      </c>
      <c r="D46" s="2">
        <v>1803</v>
      </c>
    </row>
    <row r="47" spans="1:4" x14ac:dyDescent="0.3">
      <c r="A47" s="38" t="s">
        <v>259</v>
      </c>
      <c r="B47" s="1" t="s">
        <v>45</v>
      </c>
      <c r="C47" s="33" t="s">
        <v>222</v>
      </c>
      <c r="D47" s="2">
        <v>2082.75</v>
      </c>
    </row>
    <row r="48" spans="1:4" x14ac:dyDescent="0.3">
      <c r="A48" s="37" t="s">
        <v>260</v>
      </c>
      <c r="B48" s="1" t="s">
        <v>46</v>
      </c>
      <c r="C48" s="33" t="s">
        <v>222</v>
      </c>
      <c r="D48" s="2">
        <v>3843.75</v>
      </c>
    </row>
    <row r="49" spans="1:4" x14ac:dyDescent="0.3">
      <c r="A49" s="38" t="s">
        <v>261</v>
      </c>
      <c r="B49" s="1" t="s">
        <v>47</v>
      </c>
      <c r="C49" s="33" t="s">
        <v>222</v>
      </c>
      <c r="D49" s="2">
        <v>4386</v>
      </c>
    </row>
    <row r="50" spans="1:4" x14ac:dyDescent="0.3">
      <c r="A50" s="37" t="s">
        <v>262</v>
      </c>
      <c r="B50" s="1" t="s">
        <v>48</v>
      </c>
      <c r="C50" s="33" t="s">
        <v>222</v>
      </c>
      <c r="D50" s="2">
        <v>6100.5</v>
      </c>
    </row>
    <row r="51" spans="1:4" x14ac:dyDescent="0.3">
      <c r="A51" s="38" t="s">
        <v>263</v>
      </c>
      <c r="B51" s="1" t="s">
        <v>49</v>
      </c>
      <c r="C51" s="33" t="s">
        <v>222</v>
      </c>
      <c r="D51" s="2">
        <v>19413</v>
      </c>
    </row>
    <row r="52" spans="1:4" x14ac:dyDescent="0.3">
      <c r="A52" s="37" t="s">
        <v>264</v>
      </c>
      <c r="B52" s="1" t="s">
        <v>50</v>
      </c>
      <c r="C52" s="33" t="s">
        <v>222</v>
      </c>
      <c r="D52" s="2">
        <v>832.5</v>
      </c>
    </row>
    <row r="53" spans="1:4" x14ac:dyDescent="0.3">
      <c r="A53" s="38" t="s">
        <v>265</v>
      </c>
      <c r="B53" s="1" t="s">
        <v>51</v>
      </c>
      <c r="C53" s="33" t="s">
        <v>222</v>
      </c>
      <c r="D53" s="2">
        <v>1161</v>
      </c>
    </row>
    <row r="54" spans="1:4" x14ac:dyDescent="0.3">
      <c r="A54" s="37" t="s">
        <v>266</v>
      </c>
      <c r="B54" s="1" t="s">
        <v>52</v>
      </c>
      <c r="C54" s="33" t="s">
        <v>222</v>
      </c>
      <c r="D54" s="2">
        <v>902.25</v>
      </c>
    </row>
    <row r="55" spans="1:4" x14ac:dyDescent="0.3">
      <c r="A55" s="38" t="s">
        <v>267</v>
      </c>
      <c r="B55" s="1" t="s">
        <v>53</v>
      </c>
      <c r="C55" s="33" t="s">
        <v>222</v>
      </c>
      <c r="D55" s="2">
        <v>1803</v>
      </c>
    </row>
    <row r="56" spans="1:4" x14ac:dyDescent="0.3">
      <c r="A56" s="37" t="s">
        <v>268</v>
      </c>
      <c r="B56" s="1" t="s">
        <v>54</v>
      </c>
      <c r="C56" s="33" t="s">
        <v>222</v>
      </c>
      <c r="D56" s="2">
        <v>4386</v>
      </c>
    </row>
    <row r="57" spans="1:4" x14ac:dyDescent="0.3">
      <c r="A57" s="38" t="s">
        <v>269</v>
      </c>
      <c r="B57" s="1" t="s">
        <v>55</v>
      </c>
      <c r="C57" s="33" t="s">
        <v>222</v>
      </c>
      <c r="D57" s="2">
        <v>11774.25</v>
      </c>
    </row>
    <row r="58" spans="1:4" x14ac:dyDescent="0.3">
      <c r="A58" s="37" t="s">
        <v>270</v>
      </c>
      <c r="B58" s="1" t="s">
        <v>56</v>
      </c>
      <c r="C58" s="33" t="s">
        <v>222</v>
      </c>
      <c r="D58" s="2">
        <v>26230.5</v>
      </c>
    </row>
    <row r="59" spans="1:4" x14ac:dyDescent="0.3">
      <c r="A59" s="38" t="s">
        <v>271</v>
      </c>
      <c r="B59" s="1" t="s">
        <v>57</v>
      </c>
      <c r="C59" s="33" t="s">
        <v>222</v>
      </c>
      <c r="D59" s="2">
        <v>2253.75</v>
      </c>
    </row>
    <row r="60" spans="1:4" x14ac:dyDescent="0.3">
      <c r="A60" s="37" t="s">
        <v>272</v>
      </c>
      <c r="B60" s="1" t="s">
        <v>58</v>
      </c>
      <c r="C60" s="33" t="s">
        <v>222</v>
      </c>
      <c r="D60" s="2">
        <v>2234.25</v>
      </c>
    </row>
    <row r="61" spans="1:4" x14ac:dyDescent="0.3">
      <c r="A61" s="38" t="s">
        <v>273</v>
      </c>
      <c r="B61" s="1" t="s">
        <v>59</v>
      </c>
      <c r="C61" s="33" t="s">
        <v>222</v>
      </c>
      <c r="D61" s="2">
        <v>2500.5</v>
      </c>
    </row>
    <row r="62" spans="1:4" x14ac:dyDescent="0.3">
      <c r="A62" s="37" t="s">
        <v>274</v>
      </c>
      <c r="B62" s="1" t="s">
        <v>60</v>
      </c>
      <c r="C62" s="33" t="s">
        <v>222</v>
      </c>
      <c r="D62" s="2">
        <v>5784</v>
      </c>
    </row>
    <row r="63" spans="1:4" x14ac:dyDescent="0.3">
      <c r="A63" s="38" t="s">
        <v>275</v>
      </c>
      <c r="B63" s="1" t="s">
        <v>61</v>
      </c>
      <c r="C63" s="33" t="s">
        <v>222</v>
      </c>
      <c r="D63" s="2">
        <v>6355.5</v>
      </c>
    </row>
    <row r="64" spans="1:4" x14ac:dyDescent="0.3">
      <c r="A64" s="37" t="s">
        <v>276</v>
      </c>
      <c r="B64" s="1" t="s">
        <v>62</v>
      </c>
      <c r="C64" s="33" t="s">
        <v>222</v>
      </c>
      <c r="D64" s="2">
        <v>12104.25</v>
      </c>
    </row>
    <row r="65" spans="1:13" x14ac:dyDescent="0.3">
      <c r="A65" s="38" t="s">
        <v>277</v>
      </c>
      <c r="B65" s="1" t="s">
        <v>63</v>
      </c>
      <c r="C65" s="33" t="s">
        <v>222</v>
      </c>
      <c r="D65" s="2">
        <v>17829.75</v>
      </c>
    </row>
    <row r="66" spans="1:13" x14ac:dyDescent="0.3">
      <c r="A66" s="37" t="s">
        <v>278</v>
      </c>
      <c r="B66" s="1" t="s">
        <v>64</v>
      </c>
      <c r="C66" s="33" t="s">
        <v>222</v>
      </c>
      <c r="D66" s="2">
        <v>29334</v>
      </c>
    </row>
    <row r="67" spans="1:13" x14ac:dyDescent="0.3">
      <c r="A67" s="38" t="s">
        <v>279</v>
      </c>
      <c r="B67" s="1" t="s">
        <v>65</v>
      </c>
      <c r="C67" s="33" t="s">
        <v>222</v>
      </c>
      <c r="D67" s="2">
        <v>60685.5</v>
      </c>
    </row>
    <row r="68" spans="1:13" x14ac:dyDescent="0.3">
      <c r="A68" s="37" t="s">
        <v>280</v>
      </c>
      <c r="B68" s="1" t="s">
        <v>66</v>
      </c>
      <c r="C68" s="33" t="s">
        <v>222</v>
      </c>
      <c r="D68" s="2">
        <v>200484</v>
      </c>
    </row>
    <row r="69" spans="1:13" x14ac:dyDescent="0.3">
      <c r="A69" s="38" t="s">
        <v>281</v>
      </c>
      <c r="B69" s="1" t="s">
        <v>67</v>
      </c>
      <c r="C69" s="33" t="s">
        <v>222</v>
      </c>
      <c r="D69" s="2">
        <v>384401.25</v>
      </c>
    </row>
    <row r="70" spans="1:13" x14ac:dyDescent="0.3">
      <c r="A70" s="37" t="s">
        <v>282</v>
      </c>
      <c r="B70" s="1" t="s">
        <v>68</v>
      </c>
      <c r="C70" s="33" t="s">
        <v>222</v>
      </c>
      <c r="D70" s="2">
        <v>2831.25</v>
      </c>
    </row>
    <row r="71" spans="1:13" x14ac:dyDescent="0.3">
      <c r="A71" s="38" t="s">
        <v>283</v>
      </c>
      <c r="B71" s="1" t="s">
        <v>69</v>
      </c>
      <c r="C71" s="33" t="s">
        <v>222</v>
      </c>
      <c r="D71" s="2">
        <v>4370.25</v>
      </c>
    </row>
    <row r="72" spans="1:13" x14ac:dyDescent="0.3">
      <c r="A72" s="37" t="s">
        <v>284</v>
      </c>
      <c r="B72" s="1" t="s">
        <v>70</v>
      </c>
      <c r="C72" s="33" t="s">
        <v>222</v>
      </c>
      <c r="D72" s="2">
        <v>6077.25</v>
      </c>
    </row>
    <row r="73" spans="1:13" x14ac:dyDescent="0.3">
      <c r="A73" s="38" t="s">
        <v>285</v>
      </c>
      <c r="B73" s="1" t="s">
        <v>71</v>
      </c>
      <c r="C73" s="33" t="s">
        <v>222</v>
      </c>
      <c r="D73" s="2">
        <v>571.5</v>
      </c>
    </row>
    <row r="74" spans="1:13" x14ac:dyDescent="0.3">
      <c r="A74" s="37" t="s">
        <v>286</v>
      </c>
      <c r="B74" s="1" t="s">
        <v>72</v>
      </c>
      <c r="C74" s="33" t="s">
        <v>222</v>
      </c>
      <c r="D74" s="2">
        <v>813</v>
      </c>
    </row>
    <row r="75" spans="1:13" x14ac:dyDescent="0.3">
      <c r="A75" s="38" t="s">
        <v>287</v>
      </c>
      <c r="B75" s="1" t="s">
        <v>73</v>
      </c>
      <c r="C75" s="33" t="s">
        <v>222</v>
      </c>
      <c r="D75" s="2">
        <v>946.5</v>
      </c>
    </row>
    <row r="76" spans="1:13" x14ac:dyDescent="0.3">
      <c r="A76" s="37" t="s">
        <v>288</v>
      </c>
      <c r="B76" s="1" t="s">
        <v>74</v>
      </c>
      <c r="C76" s="33" t="s">
        <v>222</v>
      </c>
      <c r="D76" s="2">
        <v>1886.25</v>
      </c>
    </row>
    <row r="77" spans="1:13" x14ac:dyDescent="0.3">
      <c r="A77" s="38" t="s">
        <v>289</v>
      </c>
      <c r="B77" s="1" t="s">
        <v>75</v>
      </c>
      <c r="C77" s="33" t="s">
        <v>222</v>
      </c>
      <c r="D77" s="2">
        <v>2345.25</v>
      </c>
      <c r="J77" s="5">
        <v>52793.599999999999</v>
      </c>
      <c r="K77" s="9">
        <f>J77/15</f>
        <v>3519.5733333333333</v>
      </c>
      <c r="L77" s="9">
        <f>K77*1.19</f>
        <v>4188.2922666666664</v>
      </c>
      <c r="M77" s="16">
        <f>L77*1.08</f>
        <v>4523.3556479999997</v>
      </c>
    </row>
    <row r="78" spans="1:13" x14ac:dyDescent="0.3">
      <c r="A78" s="37" t="s">
        <v>290</v>
      </c>
      <c r="B78" s="1" t="s">
        <v>76</v>
      </c>
      <c r="C78" s="33" t="s">
        <v>222</v>
      </c>
      <c r="D78" s="2">
        <v>4258.5</v>
      </c>
      <c r="J78" s="15">
        <f>J77*1.08</f>
        <v>57017.088000000003</v>
      </c>
      <c r="K78" s="9">
        <f>J78/15</f>
        <v>3801.1392000000001</v>
      </c>
      <c r="L78" s="9">
        <f>K78*1.19</f>
        <v>4523.3556479999997</v>
      </c>
      <c r="M78" s="16">
        <f>L78*1.08</f>
        <v>4885.2240998400002</v>
      </c>
    </row>
    <row r="79" spans="1:13" x14ac:dyDescent="0.3">
      <c r="A79" s="38" t="s">
        <v>291</v>
      </c>
      <c r="B79" s="1" t="s">
        <v>77</v>
      </c>
      <c r="C79" s="33" t="s">
        <v>222</v>
      </c>
      <c r="D79" s="2">
        <v>6243.75</v>
      </c>
    </row>
    <row r="80" spans="1:13" x14ac:dyDescent="0.3">
      <c r="A80" s="37" t="s">
        <v>292</v>
      </c>
      <c r="B80" s="1" t="s">
        <v>78</v>
      </c>
      <c r="C80" s="33" t="s">
        <v>222</v>
      </c>
      <c r="D80" s="2">
        <v>10567.5</v>
      </c>
    </row>
    <row r="81" spans="1:13" x14ac:dyDescent="0.3">
      <c r="A81" s="38" t="s">
        <v>293</v>
      </c>
      <c r="B81" s="1" t="s">
        <v>79</v>
      </c>
      <c r="C81" s="33" t="s">
        <v>222</v>
      </c>
      <c r="D81" s="2">
        <v>21677.25</v>
      </c>
    </row>
    <row r="82" spans="1:13" x14ac:dyDescent="0.3">
      <c r="A82" s="37" t="s">
        <v>294</v>
      </c>
      <c r="B82" s="1" t="s">
        <v>80</v>
      </c>
      <c r="C82" s="33" t="s">
        <v>222</v>
      </c>
      <c r="D82" s="2">
        <v>262.5</v>
      </c>
    </row>
    <row r="83" spans="1:13" x14ac:dyDescent="0.3">
      <c r="A83" s="38" t="s">
        <v>295</v>
      </c>
      <c r="B83" s="1" t="s">
        <v>81</v>
      </c>
      <c r="C83" s="33" t="s">
        <v>222</v>
      </c>
      <c r="D83" s="2">
        <v>8819.25</v>
      </c>
    </row>
    <row r="84" spans="1:13" x14ac:dyDescent="0.3">
      <c r="A84" s="37" t="s">
        <v>296</v>
      </c>
      <c r="B84" s="1" t="s">
        <v>82</v>
      </c>
      <c r="C84" s="33" t="s">
        <v>222</v>
      </c>
      <c r="D84" s="2">
        <v>22645.5</v>
      </c>
    </row>
    <row r="85" spans="1:13" x14ac:dyDescent="0.3">
      <c r="A85" s="38" t="s">
        <v>297</v>
      </c>
      <c r="B85" s="1" t="s">
        <v>83</v>
      </c>
      <c r="C85" s="33" t="s">
        <v>222</v>
      </c>
      <c r="D85" s="28">
        <v>31975.5</v>
      </c>
    </row>
    <row r="86" spans="1:13" ht="27.95" x14ac:dyDescent="0.3">
      <c r="A86" s="42"/>
      <c r="B86" s="43" t="s">
        <v>219</v>
      </c>
      <c r="C86" s="27"/>
      <c r="D86" s="25" t="s">
        <v>220</v>
      </c>
      <c r="E86" s="25" t="s">
        <v>206</v>
      </c>
      <c r="F86" s="44" t="s">
        <v>207</v>
      </c>
    </row>
    <row r="87" spans="1:13" ht="16.8" x14ac:dyDescent="0.3">
      <c r="A87" s="45" t="s">
        <v>107</v>
      </c>
      <c r="B87" s="4" t="s">
        <v>171</v>
      </c>
      <c r="C87" s="29">
        <v>57017.520000000004</v>
      </c>
      <c r="D87" s="30">
        <f>C87/15</f>
        <v>3801.1680000000001</v>
      </c>
      <c r="E87" s="30">
        <f>D87*1.19</f>
        <v>4523.3899199999996</v>
      </c>
      <c r="F87" s="9">
        <f>E87*1.08</f>
        <v>4885.2611135999996</v>
      </c>
      <c r="H87" s="15"/>
      <c r="I87" s="18"/>
      <c r="J87" s="17"/>
      <c r="K87" s="17"/>
      <c r="L87" s="17"/>
      <c r="M87" s="17"/>
    </row>
    <row r="88" spans="1:13" ht="14.4" x14ac:dyDescent="0.3">
      <c r="A88" s="45" t="s">
        <v>108</v>
      </c>
      <c r="B88" s="4" t="s">
        <v>172</v>
      </c>
      <c r="C88" s="5">
        <v>73875.445200000002</v>
      </c>
      <c r="D88" s="9">
        <f t="shared" ref="D88:D96" si="0">C88/15</f>
        <v>4925.0296800000006</v>
      </c>
      <c r="E88" s="9">
        <f t="shared" ref="E88:E106" si="1">D88*1.19</f>
        <v>5860.7853192000002</v>
      </c>
      <c r="F88" s="9">
        <f t="shared" ref="F88:F96" si="2">E88*1.08</f>
        <v>6329.6481447360011</v>
      </c>
      <c r="H88" s="15"/>
    </row>
    <row r="89" spans="1:13" ht="14.4" x14ac:dyDescent="0.3">
      <c r="A89" s="45" t="s">
        <v>109</v>
      </c>
      <c r="B89" s="4" t="s">
        <v>173</v>
      </c>
      <c r="C89" s="5">
        <v>99652.183200000014</v>
      </c>
      <c r="D89" s="9">
        <f t="shared" si="0"/>
        <v>6643.4788800000006</v>
      </c>
      <c r="E89" s="9">
        <f t="shared" si="1"/>
        <v>7905.7398671999999</v>
      </c>
      <c r="F89" s="9">
        <f t="shared" si="2"/>
        <v>8538.1990565760007</v>
      </c>
      <c r="H89" s="15"/>
    </row>
    <row r="90" spans="1:13" ht="14.4" x14ac:dyDescent="0.3">
      <c r="A90" s="45" t="s">
        <v>110</v>
      </c>
      <c r="B90" s="4" t="s">
        <v>174</v>
      </c>
      <c r="C90" s="5">
        <v>141770.87640000001</v>
      </c>
      <c r="D90" s="9">
        <f t="shared" si="0"/>
        <v>9451.3917600000004</v>
      </c>
      <c r="E90" s="9">
        <f t="shared" si="1"/>
        <v>11247.1561944</v>
      </c>
      <c r="F90" s="9">
        <f t="shared" si="2"/>
        <v>12146.928689952001</v>
      </c>
      <c r="H90" s="15"/>
    </row>
    <row r="91" spans="1:13" ht="14.4" x14ac:dyDescent="0.3">
      <c r="A91" s="45" t="s">
        <v>111</v>
      </c>
      <c r="B91" s="4" t="s">
        <v>175</v>
      </c>
      <c r="C91" s="5">
        <v>166085.1324</v>
      </c>
      <c r="D91" s="9">
        <f t="shared" si="0"/>
        <v>11072.34216</v>
      </c>
      <c r="E91" s="9">
        <f t="shared" si="1"/>
        <v>13176.0871704</v>
      </c>
      <c r="F91" s="9">
        <f t="shared" si="2"/>
        <v>14230.174144032</v>
      </c>
      <c r="H91" s="15"/>
    </row>
    <row r="92" spans="1:13" ht="14.4" x14ac:dyDescent="0.3">
      <c r="A92" s="45" t="s">
        <v>112</v>
      </c>
      <c r="B92" s="4" t="s">
        <v>176</v>
      </c>
      <c r="C92" s="5">
        <v>225577.79640000002</v>
      </c>
      <c r="D92" s="9">
        <f t="shared" si="0"/>
        <v>15038.519760000001</v>
      </c>
      <c r="E92" s="9">
        <f t="shared" si="1"/>
        <v>17895.838514400002</v>
      </c>
      <c r="F92" s="9">
        <f t="shared" si="2"/>
        <v>19327.505595552004</v>
      </c>
      <c r="H92" s="15"/>
    </row>
    <row r="93" spans="1:13" ht="14.4" x14ac:dyDescent="0.3">
      <c r="A93" s="45" t="s">
        <v>113</v>
      </c>
      <c r="B93" s="4" t="s">
        <v>177</v>
      </c>
      <c r="C93" s="5">
        <v>318594.8052</v>
      </c>
      <c r="D93" s="9">
        <f t="shared" si="0"/>
        <v>21239.653679999999</v>
      </c>
      <c r="E93" s="9">
        <f t="shared" si="1"/>
        <v>25275.187879199999</v>
      </c>
      <c r="F93" s="9">
        <f t="shared" si="2"/>
        <v>27297.202909536001</v>
      </c>
      <c r="H93" s="15"/>
    </row>
    <row r="94" spans="1:13" ht="14.4" x14ac:dyDescent="0.3">
      <c r="A94" s="45" t="s">
        <v>114</v>
      </c>
      <c r="B94" s="4" t="s">
        <v>178</v>
      </c>
      <c r="C94" s="5">
        <v>387137.51280000008</v>
      </c>
      <c r="D94" s="9">
        <f t="shared" si="0"/>
        <v>25809.167520000006</v>
      </c>
      <c r="E94" s="9">
        <f t="shared" si="1"/>
        <v>30712.909348800007</v>
      </c>
      <c r="F94" s="9">
        <f t="shared" si="2"/>
        <v>33169.942096704013</v>
      </c>
      <c r="H94" s="15"/>
    </row>
    <row r="95" spans="1:13" ht="14.4" x14ac:dyDescent="0.3">
      <c r="A95" s="45" t="s">
        <v>115</v>
      </c>
      <c r="B95" s="4" t="s">
        <v>179</v>
      </c>
      <c r="C95" s="5">
        <v>591792.75</v>
      </c>
      <c r="D95" s="9">
        <f t="shared" si="0"/>
        <v>39452.85</v>
      </c>
      <c r="E95" s="9">
        <f t="shared" si="1"/>
        <v>46948.891499999998</v>
      </c>
      <c r="F95" s="9">
        <f t="shared" si="2"/>
        <v>50704.802820000004</v>
      </c>
      <c r="H95" s="15"/>
    </row>
    <row r="96" spans="1:13" ht="14.4" x14ac:dyDescent="0.3">
      <c r="A96" s="45" t="s">
        <v>116</v>
      </c>
      <c r="B96" s="4" t="s">
        <v>180</v>
      </c>
      <c r="C96" s="5">
        <v>861093.63359999994</v>
      </c>
      <c r="D96" s="9">
        <f t="shared" si="0"/>
        <v>57406.24224</v>
      </c>
      <c r="E96" s="9">
        <f t="shared" si="1"/>
        <v>68313.4282656</v>
      </c>
      <c r="F96" s="9">
        <f t="shared" si="2"/>
        <v>73778.502526848009</v>
      </c>
      <c r="H96" s="15"/>
    </row>
    <row r="97" spans="1:8" ht="14.4" x14ac:dyDescent="0.3">
      <c r="A97" s="46" t="s">
        <v>117</v>
      </c>
      <c r="B97" s="13" t="s">
        <v>181</v>
      </c>
      <c r="C97" s="14">
        <v>71548.03</v>
      </c>
      <c r="D97" s="31">
        <f>C97/6</f>
        <v>11924.671666666667</v>
      </c>
      <c r="E97" s="31">
        <f t="shared" si="1"/>
        <v>14190.359283333333</v>
      </c>
      <c r="F97" s="32">
        <f t="shared" ref="F97:F106" si="3">E97*1.08</f>
        <v>15325.588026000001</v>
      </c>
    </row>
    <row r="98" spans="1:8" ht="14.4" x14ac:dyDescent="0.3">
      <c r="A98" s="46" t="s">
        <v>118</v>
      </c>
      <c r="B98" s="13" t="s">
        <v>183</v>
      </c>
      <c r="C98" s="14">
        <v>132734.44</v>
      </c>
      <c r="D98" s="31">
        <f t="shared" ref="D98:D106" si="4">C98/6</f>
        <v>22122.406666666666</v>
      </c>
      <c r="E98" s="31">
        <f t="shared" si="1"/>
        <v>26325.66393333333</v>
      </c>
      <c r="F98" s="32">
        <f t="shared" si="3"/>
        <v>28431.717047999999</v>
      </c>
    </row>
    <row r="99" spans="1:8" ht="14.4" x14ac:dyDescent="0.3">
      <c r="A99" s="46" t="s">
        <v>119</v>
      </c>
      <c r="B99" s="13" t="s">
        <v>184</v>
      </c>
      <c r="C99" s="14">
        <v>165550.13</v>
      </c>
      <c r="D99" s="31">
        <f t="shared" si="4"/>
        <v>27591.688333333335</v>
      </c>
      <c r="E99" s="31">
        <f t="shared" si="1"/>
        <v>32834.109116666667</v>
      </c>
      <c r="F99" s="32">
        <f t="shared" si="3"/>
        <v>35460.837846000002</v>
      </c>
    </row>
    <row r="100" spans="1:8" ht="14.4" x14ac:dyDescent="0.3">
      <c r="A100" s="46" t="s">
        <v>120</v>
      </c>
      <c r="B100" s="13" t="s">
        <v>185</v>
      </c>
      <c r="C100" s="14">
        <v>211613.13</v>
      </c>
      <c r="D100" s="31">
        <f t="shared" si="4"/>
        <v>35268.855000000003</v>
      </c>
      <c r="E100" s="31">
        <f t="shared" si="1"/>
        <v>41969.937450000005</v>
      </c>
      <c r="F100" s="32">
        <f t="shared" si="3"/>
        <v>45327.532446000005</v>
      </c>
    </row>
    <row r="101" spans="1:8" ht="14.4" x14ac:dyDescent="0.3">
      <c r="A101" s="46" t="s">
        <v>121</v>
      </c>
      <c r="B101" s="13" t="s">
        <v>186</v>
      </c>
      <c r="C101" s="14">
        <v>308481.20999999996</v>
      </c>
      <c r="D101" s="31">
        <f t="shared" si="4"/>
        <v>51413.534999999996</v>
      </c>
      <c r="E101" s="31">
        <f t="shared" si="1"/>
        <v>61182.106649999994</v>
      </c>
      <c r="F101" s="32">
        <f t="shared" si="3"/>
        <v>66076.675181999992</v>
      </c>
    </row>
    <row r="102" spans="1:8" ht="14.4" x14ac:dyDescent="0.3">
      <c r="A102" s="46" t="s">
        <v>122</v>
      </c>
      <c r="B102" s="13" t="s">
        <v>187</v>
      </c>
      <c r="C102" s="14">
        <v>413991.03</v>
      </c>
      <c r="D102" s="31">
        <f t="shared" si="4"/>
        <v>68998.505000000005</v>
      </c>
      <c r="E102" s="31">
        <f t="shared" si="1"/>
        <v>82108.220950000003</v>
      </c>
      <c r="F102" s="32">
        <f t="shared" si="3"/>
        <v>88676.878626000005</v>
      </c>
    </row>
    <row r="103" spans="1:8" ht="14.4" x14ac:dyDescent="0.3">
      <c r="A103" s="46" t="s">
        <v>123</v>
      </c>
      <c r="B103" s="13" t="s">
        <v>188</v>
      </c>
      <c r="C103" s="14">
        <v>526500.09</v>
      </c>
      <c r="D103" s="31">
        <f t="shared" si="4"/>
        <v>87750.014999999999</v>
      </c>
      <c r="E103" s="31">
        <f t="shared" si="1"/>
        <v>104422.51784999999</v>
      </c>
      <c r="F103" s="32">
        <f t="shared" si="3"/>
        <v>112776.319278</v>
      </c>
    </row>
    <row r="104" spans="1:8" ht="14.4" x14ac:dyDescent="0.3">
      <c r="A104" s="46" t="s">
        <v>124</v>
      </c>
      <c r="B104" s="13" t="s">
        <v>189</v>
      </c>
      <c r="C104" s="14">
        <v>688499.5</v>
      </c>
      <c r="D104" s="31">
        <f t="shared" si="4"/>
        <v>114749.91666666667</v>
      </c>
      <c r="E104" s="31">
        <f t="shared" si="1"/>
        <v>136552.40083333332</v>
      </c>
      <c r="F104" s="32">
        <f t="shared" si="3"/>
        <v>147476.59289999999</v>
      </c>
    </row>
    <row r="105" spans="1:8" ht="14.4" x14ac:dyDescent="0.3">
      <c r="A105" s="46" t="s">
        <v>125</v>
      </c>
      <c r="B105" s="13" t="s">
        <v>190</v>
      </c>
      <c r="C105" s="14">
        <v>1187699.05</v>
      </c>
      <c r="D105" s="31">
        <f t="shared" si="4"/>
        <v>197949.84166666667</v>
      </c>
      <c r="E105" s="31">
        <f t="shared" si="1"/>
        <v>235560.31158333333</v>
      </c>
      <c r="F105" s="32">
        <f t="shared" si="3"/>
        <v>254405.13651000001</v>
      </c>
    </row>
    <row r="106" spans="1:8" ht="14.4" x14ac:dyDescent="0.3">
      <c r="A106" s="46" t="s">
        <v>126</v>
      </c>
      <c r="B106" s="13" t="s">
        <v>182</v>
      </c>
      <c r="C106" s="14">
        <v>1759687.63</v>
      </c>
      <c r="D106" s="31">
        <f t="shared" si="4"/>
        <v>293281.27166666667</v>
      </c>
      <c r="E106" s="31">
        <f t="shared" si="1"/>
        <v>349004.71328333335</v>
      </c>
      <c r="F106" s="32">
        <f t="shared" si="3"/>
        <v>376925.09034600004</v>
      </c>
    </row>
    <row r="107" spans="1:8" ht="27.95" x14ac:dyDescent="0.3">
      <c r="A107" s="46" t="s">
        <v>127</v>
      </c>
      <c r="B107" s="13" t="s">
        <v>191</v>
      </c>
      <c r="C107" s="14">
        <v>2402303.71</v>
      </c>
      <c r="D107" t="s">
        <v>205</v>
      </c>
      <c r="E107" t="s">
        <v>206</v>
      </c>
      <c r="F107" s="19" t="s">
        <v>207</v>
      </c>
    </row>
    <row r="108" spans="1:8" x14ac:dyDescent="0.3">
      <c r="A108" s="47" t="s">
        <v>128</v>
      </c>
      <c r="B108" s="6" t="s">
        <v>192</v>
      </c>
      <c r="C108" s="7">
        <v>59177.45</v>
      </c>
      <c r="D108" s="8">
        <f>C108/6</f>
        <v>9862.9083333333328</v>
      </c>
      <c r="E108" s="8">
        <f>D108*1.19</f>
        <v>11736.860916666665</v>
      </c>
      <c r="F108" s="8">
        <f>E108*1.08</f>
        <v>12675.809789999999</v>
      </c>
      <c r="H108" t="s">
        <v>208</v>
      </c>
    </row>
    <row r="109" spans="1:8" x14ac:dyDescent="0.3">
      <c r="A109" s="47" t="s">
        <v>129</v>
      </c>
      <c r="B109" s="6" t="s">
        <v>193</v>
      </c>
      <c r="C109" s="7">
        <v>91885.1</v>
      </c>
      <c r="D109" s="8">
        <f t="shared" ref="D109:D120" si="5">C109/6</f>
        <v>15314.183333333334</v>
      </c>
      <c r="E109" s="8">
        <f t="shared" ref="E109:E129" si="6">D109*1.19</f>
        <v>18223.878166666665</v>
      </c>
      <c r="F109" s="8">
        <f t="shared" ref="F109:F120" si="7">E109*1.08</f>
        <v>19681.788420000001</v>
      </c>
    </row>
    <row r="110" spans="1:8" x14ac:dyDescent="0.3">
      <c r="A110" s="47" t="s">
        <v>106</v>
      </c>
      <c r="B110" s="6" t="s">
        <v>194</v>
      </c>
      <c r="C110" s="7">
        <v>130702.12</v>
      </c>
      <c r="D110" s="8">
        <f t="shared" si="5"/>
        <v>21783.686666666665</v>
      </c>
      <c r="E110" s="8">
        <f t="shared" si="6"/>
        <v>25922.587133333331</v>
      </c>
      <c r="F110" s="8">
        <f t="shared" si="7"/>
        <v>27996.394103999999</v>
      </c>
    </row>
    <row r="111" spans="1:8" x14ac:dyDescent="0.3">
      <c r="A111" s="47" t="s">
        <v>130</v>
      </c>
      <c r="B111" s="6" t="s">
        <v>195</v>
      </c>
      <c r="C111" s="7">
        <v>178623.7</v>
      </c>
      <c r="D111" s="8">
        <f t="shared" si="5"/>
        <v>29770.616666666669</v>
      </c>
      <c r="E111" s="8">
        <f t="shared" si="6"/>
        <v>35427.033833333335</v>
      </c>
      <c r="F111" s="8">
        <f t="shared" si="7"/>
        <v>38261.196540000004</v>
      </c>
    </row>
    <row r="112" spans="1:8" x14ac:dyDescent="0.3">
      <c r="A112" s="47" t="s">
        <v>131</v>
      </c>
      <c r="B112" s="6" t="s">
        <v>196</v>
      </c>
      <c r="C112" s="7">
        <v>211149.58000000002</v>
      </c>
      <c r="D112" s="8">
        <f t="shared" si="5"/>
        <v>35191.596666666672</v>
      </c>
      <c r="E112" s="8">
        <f t="shared" si="6"/>
        <v>41878.000033333337</v>
      </c>
      <c r="F112" s="8">
        <f t="shared" si="7"/>
        <v>45228.24003600001</v>
      </c>
    </row>
    <row r="113" spans="1:6" x14ac:dyDescent="0.3">
      <c r="A113" s="47" t="s">
        <v>132</v>
      </c>
      <c r="B113" s="6" t="s">
        <v>197</v>
      </c>
      <c r="C113" s="7">
        <v>307623.45999999996</v>
      </c>
      <c r="D113" s="8">
        <f t="shared" si="5"/>
        <v>51270.57666666666</v>
      </c>
      <c r="E113" s="8">
        <f t="shared" si="6"/>
        <v>61011.986233333322</v>
      </c>
      <c r="F113" s="8">
        <f t="shared" si="7"/>
        <v>65892.945131999993</v>
      </c>
    </row>
    <row r="114" spans="1:6" x14ac:dyDescent="0.3">
      <c r="A114" s="47" t="s">
        <v>133</v>
      </c>
      <c r="B114" s="6" t="s">
        <v>198</v>
      </c>
      <c r="C114" s="7">
        <v>416499.31</v>
      </c>
      <c r="D114" s="8">
        <f t="shared" si="5"/>
        <v>69416.551666666666</v>
      </c>
      <c r="E114" s="8">
        <f t="shared" si="6"/>
        <v>82605.696483333333</v>
      </c>
      <c r="F114" s="8">
        <f t="shared" si="7"/>
        <v>89214.152202000012</v>
      </c>
    </row>
    <row r="115" spans="1:6" x14ac:dyDescent="0.3">
      <c r="A115" s="47" t="s">
        <v>134</v>
      </c>
      <c r="B115" s="6" t="s">
        <v>199</v>
      </c>
      <c r="C115" s="7">
        <v>536544.15999999992</v>
      </c>
      <c r="D115" s="8">
        <f t="shared" si="5"/>
        <v>89424.026666666658</v>
      </c>
      <c r="E115" s="8">
        <f t="shared" si="6"/>
        <v>106414.59173333332</v>
      </c>
      <c r="F115" s="8">
        <f t="shared" si="7"/>
        <v>114927.75907199999</v>
      </c>
    </row>
    <row r="116" spans="1:6" x14ac:dyDescent="0.3">
      <c r="A116" s="47" t="s">
        <v>135</v>
      </c>
      <c r="B116" s="6" t="s">
        <v>200</v>
      </c>
      <c r="C116" s="7">
        <v>936581.24</v>
      </c>
      <c r="D116" s="8">
        <f t="shared" si="5"/>
        <v>156096.87333333332</v>
      </c>
      <c r="E116" s="8">
        <f t="shared" si="6"/>
        <v>185755.27926666665</v>
      </c>
      <c r="F116" s="8">
        <f t="shared" si="7"/>
        <v>200615.701608</v>
      </c>
    </row>
    <row r="117" spans="1:6" x14ac:dyDescent="0.3">
      <c r="A117" s="47" t="s">
        <v>136</v>
      </c>
      <c r="B117" s="6" t="s">
        <v>201</v>
      </c>
      <c r="C117" s="7">
        <v>1513988.6099999999</v>
      </c>
      <c r="D117" s="8">
        <f t="shared" si="5"/>
        <v>252331.43499999997</v>
      </c>
      <c r="E117" s="8">
        <f t="shared" si="6"/>
        <v>300274.40764999995</v>
      </c>
      <c r="F117" s="8">
        <f t="shared" si="7"/>
        <v>324296.36026199994</v>
      </c>
    </row>
    <row r="118" spans="1:6" x14ac:dyDescent="0.3">
      <c r="A118" s="47" t="s">
        <v>137</v>
      </c>
      <c r="B118" s="6" t="s">
        <v>202</v>
      </c>
      <c r="C118" s="7">
        <v>2186890.2000000002</v>
      </c>
      <c r="D118" s="8">
        <f t="shared" si="5"/>
        <v>364481.7</v>
      </c>
      <c r="E118" s="8">
        <f t="shared" si="6"/>
        <v>433733.223</v>
      </c>
      <c r="F118" s="8">
        <f t="shared" si="7"/>
        <v>468431.88084000006</v>
      </c>
    </row>
    <row r="119" spans="1:6" x14ac:dyDescent="0.3">
      <c r="A119" s="47" t="s">
        <v>138</v>
      </c>
      <c r="B119" s="6" t="s">
        <v>203</v>
      </c>
      <c r="C119" s="7">
        <v>3528001.67</v>
      </c>
      <c r="D119" s="8">
        <f t="shared" si="5"/>
        <v>588000.27833333332</v>
      </c>
      <c r="E119" s="8">
        <f t="shared" si="6"/>
        <v>699720.33121666661</v>
      </c>
      <c r="F119" s="8">
        <f t="shared" si="7"/>
        <v>755697.95771400002</v>
      </c>
    </row>
    <row r="120" spans="1:6" x14ac:dyDescent="0.3">
      <c r="A120" s="47" t="s">
        <v>139</v>
      </c>
      <c r="B120" s="6" t="s">
        <v>204</v>
      </c>
      <c r="C120" s="7">
        <v>4998002.67</v>
      </c>
      <c r="D120" s="8">
        <f t="shared" si="5"/>
        <v>833000.44499999995</v>
      </c>
      <c r="E120" s="8">
        <f t="shared" si="6"/>
        <v>991270.52954999986</v>
      </c>
      <c r="F120" s="8">
        <f t="shared" si="7"/>
        <v>1070572.1719139998</v>
      </c>
    </row>
    <row r="121" spans="1:6" x14ac:dyDescent="0.3">
      <c r="A121" s="48" t="s">
        <v>140</v>
      </c>
      <c r="B121" s="49" t="s">
        <v>86</v>
      </c>
      <c r="C121" s="50">
        <v>89199.2</v>
      </c>
      <c r="D121" s="51">
        <f>C121/5.8</f>
        <v>15379.172413793103</v>
      </c>
      <c r="E121" s="51">
        <f t="shared" si="6"/>
        <v>18301.215172413791</v>
      </c>
    </row>
    <row r="122" spans="1:6" x14ac:dyDescent="0.3">
      <c r="A122" s="48" t="s">
        <v>141</v>
      </c>
      <c r="B122" s="49" t="s">
        <v>87</v>
      </c>
      <c r="C122" s="50">
        <v>96249.600000000006</v>
      </c>
      <c r="D122" s="51">
        <f t="shared" ref="D122:D129" si="8">C122/5.8</f>
        <v>16594.758620689656</v>
      </c>
      <c r="E122" s="51">
        <f t="shared" si="6"/>
        <v>19747.762758620691</v>
      </c>
    </row>
    <row r="123" spans="1:6" x14ac:dyDescent="0.3">
      <c r="A123" s="48" t="s">
        <v>142</v>
      </c>
      <c r="B123" s="49" t="s">
        <v>88</v>
      </c>
      <c r="C123" s="50">
        <v>110649.60000000001</v>
      </c>
      <c r="D123" s="51">
        <f t="shared" si="8"/>
        <v>19077.517241379312</v>
      </c>
      <c r="E123" s="51">
        <f t="shared" si="6"/>
        <v>22702.245517241379</v>
      </c>
    </row>
    <row r="124" spans="1:6" x14ac:dyDescent="0.3">
      <c r="A124" s="48" t="s">
        <v>143</v>
      </c>
      <c r="B124" s="49" t="s">
        <v>89</v>
      </c>
      <c r="C124" s="50">
        <v>138435.20000000001</v>
      </c>
      <c r="D124" s="51">
        <f t="shared" si="8"/>
        <v>23868.137931034486</v>
      </c>
      <c r="E124" s="51">
        <f t="shared" si="6"/>
        <v>28403.084137931037</v>
      </c>
    </row>
    <row r="125" spans="1:6" x14ac:dyDescent="0.3">
      <c r="A125" s="48" t="s">
        <v>144</v>
      </c>
      <c r="B125" s="49" t="s">
        <v>90</v>
      </c>
      <c r="C125" s="50">
        <v>184754.4</v>
      </c>
      <c r="D125" s="51">
        <f t="shared" si="8"/>
        <v>31854.206896551725</v>
      </c>
      <c r="E125" s="51">
        <f t="shared" si="6"/>
        <v>37906.506206896549</v>
      </c>
    </row>
    <row r="126" spans="1:6" x14ac:dyDescent="0.3">
      <c r="A126" s="48" t="s">
        <v>145</v>
      </c>
      <c r="B126" s="49" t="s">
        <v>91</v>
      </c>
      <c r="C126" s="50">
        <v>225273.60000000001</v>
      </c>
      <c r="D126" s="51">
        <f t="shared" si="8"/>
        <v>38840.275862068971</v>
      </c>
      <c r="E126" s="51">
        <f t="shared" si="6"/>
        <v>46219.928275862076</v>
      </c>
    </row>
    <row r="127" spans="1:6" x14ac:dyDescent="0.3">
      <c r="A127" s="48" t="s">
        <v>146</v>
      </c>
      <c r="B127" s="49" t="s">
        <v>92</v>
      </c>
      <c r="C127" s="50">
        <v>303321.59999999998</v>
      </c>
      <c r="D127" s="51">
        <f t="shared" si="8"/>
        <v>52296.827586206891</v>
      </c>
      <c r="E127" s="51">
        <f t="shared" si="6"/>
        <v>62233.2248275862</v>
      </c>
    </row>
    <row r="128" spans="1:6" x14ac:dyDescent="0.3">
      <c r="A128" s="48" t="s">
        <v>147</v>
      </c>
      <c r="B128" s="49" t="s">
        <v>93</v>
      </c>
      <c r="C128" s="50">
        <v>506241.6</v>
      </c>
      <c r="D128" s="51">
        <f t="shared" si="8"/>
        <v>87283.034482758623</v>
      </c>
      <c r="E128" s="51">
        <f t="shared" si="6"/>
        <v>103866.81103448276</v>
      </c>
    </row>
    <row r="129" spans="1:6" x14ac:dyDescent="0.3">
      <c r="A129" s="48" t="s">
        <v>148</v>
      </c>
      <c r="B129" s="49" t="s">
        <v>94</v>
      </c>
      <c r="C129" s="50">
        <v>924631.2</v>
      </c>
      <c r="D129" s="51">
        <f t="shared" si="8"/>
        <v>159419.1724137931</v>
      </c>
      <c r="E129" s="51">
        <f t="shared" si="6"/>
        <v>189708.81517241377</v>
      </c>
    </row>
    <row r="130" spans="1:6" x14ac:dyDescent="0.3">
      <c r="A130" s="52" t="s">
        <v>149</v>
      </c>
      <c r="B130" s="10" t="s">
        <v>95</v>
      </c>
      <c r="C130" s="11">
        <v>4604.24</v>
      </c>
      <c r="D130" s="12">
        <f>C130/1.8</f>
        <v>2557.911111111111</v>
      </c>
      <c r="E130" s="12">
        <f>D130*1.19</f>
        <v>3043.9142222222222</v>
      </c>
      <c r="F130" s="12">
        <f>E130*1.08</f>
        <v>3287.4273600000001</v>
      </c>
    </row>
    <row r="131" spans="1:6" x14ac:dyDescent="0.3">
      <c r="A131" s="52" t="s">
        <v>159</v>
      </c>
      <c r="B131" s="10" t="s">
        <v>96</v>
      </c>
      <c r="C131" s="11">
        <v>5049.12</v>
      </c>
      <c r="D131" s="12">
        <f t="shared" ref="D131:D140" si="9">C131/1.8</f>
        <v>2805.0666666666666</v>
      </c>
      <c r="E131" s="12">
        <f t="shared" ref="E131:E140" si="10">D131*1.19</f>
        <v>3338.0293333333329</v>
      </c>
      <c r="F131" s="12">
        <f t="shared" ref="F131:F140" si="11">E131*1.08</f>
        <v>3605.07168</v>
      </c>
    </row>
    <row r="132" spans="1:6" x14ac:dyDescent="0.3">
      <c r="A132" s="52" t="s">
        <v>150</v>
      </c>
      <c r="B132" s="10" t="s">
        <v>97</v>
      </c>
      <c r="C132" s="11">
        <v>5421.6399999999994</v>
      </c>
      <c r="D132" s="12">
        <f t="shared" si="9"/>
        <v>3012.0222222222219</v>
      </c>
      <c r="E132" s="12">
        <f t="shared" si="10"/>
        <v>3584.306444444444</v>
      </c>
      <c r="F132" s="12">
        <f t="shared" si="11"/>
        <v>3871.0509599999996</v>
      </c>
    </row>
    <row r="133" spans="1:6" x14ac:dyDescent="0.3">
      <c r="A133" s="52" t="s">
        <v>151</v>
      </c>
      <c r="B133" s="10" t="s">
        <v>98</v>
      </c>
      <c r="C133" s="11">
        <v>6015.26</v>
      </c>
      <c r="D133" s="12">
        <f t="shared" si="9"/>
        <v>3341.8111111111111</v>
      </c>
      <c r="E133" s="12">
        <f t="shared" si="10"/>
        <v>3976.7552222222221</v>
      </c>
      <c r="F133" s="12">
        <f t="shared" si="11"/>
        <v>4294.8956399999997</v>
      </c>
    </row>
    <row r="134" spans="1:6" x14ac:dyDescent="0.3">
      <c r="A134" s="52" t="s">
        <v>152</v>
      </c>
      <c r="B134" s="10" t="s">
        <v>99</v>
      </c>
      <c r="C134" s="11">
        <v>6089.6299999999992</v>
      </c>
      <c r="D134" s="12">
        <f t="shared" si="9"/>
        <v>3383.1277777777773</v>
      </c>
      <c r="E134" s="12">
        <f t="shared" si="10"/>
        <v>4025.9220555555548</v>
      </c>
      <c r="F134" s="12">
        <f t="shared" si="11"/>
        <v>4347.9958199999992</v>
      </c>
    </row>
    <row r="135" spans="1:6" x14ac:dyDescent="0.3">
      <c r="A135" s="52" t="s">
        <v>153</v>
      </c>
      <c r="B135" s="10" t="s">
        <v>100</v>
      </c>
      <c r="C135" s="11">
        <v>6609.5499999999993</v>
      </c>
      <c r="D135" s="12">
        <f t="shared" si="9"/>
        <v>3671.9722222222217</v>
      </c>
      <c r="E135" s="12">
        <f t="shared" si="10"/>
        <v>4369.6469444444438</v>
      </c>
      <c r="F135" s="12">
        <f t="shared" si="11"/>
        <v>4719.2186999999994</v>
      </c>
    </row>
    <row r="136" spans="1:6" x14ac:dyDescent="0.3">
      <c r="A136" s="52" t="s">
        <v>154</v>
      </c>
      <c r="B136" s="10" t="s">
        <v>101</v>
      </c>
      <c r="C136" s="11">
        <v>7351.24</v>
      </c>
      <c r="D136" s="12">
        <f t="shared" si="9"/>
        <v>4084.0222222222219</v>
      </c>
      <c r="E136" s="12">
        <f t="shared" si="10"/>
        <v>4859.9864444444438</v>
      </c>
      <c r="F136" s="12">
        <f t="shared" si="11"/>
        <v>5248.7853599999999</v>
      </c>
    </row>
    <row r="137" spans="1:6" x14ac:dyDescent="0.3">
      <c r="A137" s="52" t="s">
        <v>155</v>
      </c>
      <c r="B137" s="10" t="s">
        <v>102</v>
      </c>
      <c r="C137" s="11">
        <v>8168.6399999999994</v>
      </c>
      <c r="D137" s="12">
        <f t="shared" si="9"/>
        <v>4538.1333333333332</v>
      </c>
      <c r="E137" s="12">
        <f t="shared" si="10"/>
        <v>5400.3786666666665</v>
      </c>
      <c r="F137" s="12">
        <f t="shared" si="11"/>
        <v>5832.4089600000007</v>
      </c>
    </row>
    <row r="138" spans="1:6" x14ac:dyDescent="0.3">
      <c r="A138" s="52" t="s">
        <v>156</v>
      </c>
      <c r="B138" s="10" t="s">
        <v>103</v>
      </c>
      <c r="C138" s="11">
        <v>9504.619999999999</v>
      </c>
      <c r="D138" s="12">
        <f t="shared" si="9"/>
        <v>5280.344444444444</v>
      </c>
      <c r="E138" s="12">
        <f t="shared" si="10"/>
        <v>6283.6098888888882</v>
      </c>
      <c r="F138" s="12">
        <f t="shared" si="11"/>
        <v>6786.2986799999999</v>
      </c>
    </row>
    <row r="139" spans="1:6" x14ac:dyDescent="0.3">
      <c r="A139" s="52" t="s">
        <v>157</v>
      </c>
      <c r="B139" s="10" t="s">
        <v>104</v>
      </c>
      <c r="C139" s="11">
        <v>14877.349999999999</v>
      </c>
      <c r="D139" s="12">
        <f t="shared" si="9"/>
        <v>8265.1944444444434</v>
      </c>
      <c r="E139" s="12">
        <f t="shared" si="10"/>
        <v>9835.5813888888879</v>
      </c>
      <c r="F139" s="12">
        <f t="shared" si="11"/>
        <v>10622.427899999999</v>
      </c>
    </row>
    <row r="140" spans="1:6" x14ac:dyDescent="0.3">
      <c r="A140" s="52" t="s">
        <v>158</v>
      </c>
      <c r="B140" s="10" t="s">
        <v>105</v>
      </c>
      <c r="C140" s="11">
        <v>20583.07</v>
      </c>
      <c r="D140" s="12">
        <f t="shared" si="9"/>
        <v>11435.038888888888</v>
      </c>
      <c r="E140" s="12">
        <f t="shared" si="10"/>
        <v>13607.696277777777</v>
      </c>
      <c r="F140" s="12">
        <f t="shared" si="11"/>
        <v>14696.31198</v>
      </c>
    </row>
    <row r="141" spans="1:6" x14ac:dyDescent="0.3">
      <c r="A141" s="36" t="s">
        <v>160</v>
      </c>
      <c r="B141" s="1" t="s">
        <v>84</v>
      </c>
      <c r="C141" s="2">
        <v>28025.43</v>
      </c>
    </row>
    <row r="142" spans="1:6" x14ac:dyDescent="0.3">
      <c r="A142" s="24" t="s">
        <v>161</v>
      </c>
      <c r="B142" s="20" t="s">
        <v>209</v>
      </c>
      <c r="C142" s="21">
        <v>60774.400000000001</v>
      </c>
    </row>
    <row r="143" spans="1:6" x14ac:dyDescent="0.3">
      <c r="A143" s="24" t="s">
        <v>162</v>
      </c>
      <c r="B143" s="20" t="s">
        <v>210</v>
      </c>
      <c r="C143" s="21">
        <v>78278.399999999994</v>
      </c>
    </row>
    <row r="144" spans="1:6" x14ac:dyDescent="0.3">
      <c r="A144" s="24" t="s">
        <v>163</v>
      </c>
      <c r="B144" s="20" t="s">
        <v>211</v>
      </c>
      <c r="C144" s="21">
        <v>113170.4</v>
      </c>
    </row>
    <row r="145" spans="1:3" x14ac:dyDescent="0.3">
      <c r="A145" s="24" t="s">
        <v>164</v>
      </c>
      <c r="B145" s="20" t="s">
        <v>212</v>
      </c>
      <c r="C145" s="21">
        <v>151610.4</v>
      </c>
    </row>
    <row r="146" spans="1:3" x14ac:dyDescent="0.3">
      <c r="A146" s="24" t="s">
        <v>165</v>
      </c>
      <c r="B146" s="20" t="s">
        <v>213</v>
      </c>
      <c r="C146" s="21">
        <v>181496</v>
      </c>
    </row>
    <row r="147" spans="1:3" x14ac:dyDescent="0.3">
      <c r="A147" s="24" t="s">
        <v>166</v>
      </c>
      <c r="B147" s="22" t="s">
        <v>214</v>
      </c>
      <c r="C147" s="23">
        <v>239653.6</v>
      </c>
    </row>
    <row r="148" spans="1:3" x14ac:dyDescent="0.3">
      <c r="A148" s="25" t="s">
        <v>167</v>
      </c>
      <c r="B148" s="26" t="s">
        <v>215</v>
      </c>
      <c r="C148" s="27">
        <v>1521.8400000000001</v>
      </c>
    </row>
    <row r="149" spans="1:3" x14ac:dyDescent="0.3">
      <c r="A149" s="25" t="s">
        <v>168</v>
      </c>
      <c r="B149" s="26" t="s">
        <v>216</v>
      </c>
      <c r="C149" s="27">
        <v>1814.92</v>
      </c>
    </row>
    <row r="150" spans="1:3" x14ac:dyDescent="0.3">
      <c r="A150" s="25" t="s">
        <v>169</v>
      </c>
      <c r="B150" s="26" t="s">
        <v>217</v>
      </c>
      <c r="C150" s="27">
        <v>2490.84</v>
      </c>
    </row>
    <row r="151" spans="1:3" x14ac:dyDescent="0.3">
      <c r="A151" s="25" t="s">
        <v>170</v>
      </c>
      <c r="B151" s="26" t="s">
        <v>218</v>
      </c>
      <c r="C151" s="27">
        <v>4047.3599999999997</v>
      </c>
    </row>
  </sheetData>
  <mergeCells count="1">
    <mergeCell ref="A1:D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tub. de cobre y red contrainc. 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Mayun Santander2</dc:creator>
  <cp:lastModifiedBy>Usuario</cp:lastModifiedBy>
  <dcterms:created xsi:type="dcterms:W3CDTF">2025-01-14T20:53:08Z</dcterms:created>
  <dcterms:modified xsi:type="dcterms:W3CDTF">2026-05-14T20:06:58Z</dcterms:modified>
</cp:coreProperties>
</file>