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\automatizacion cotizaciones andres\ENVIO ANDRES\"/>
    </mc:Choice>
  </mc:AlternateContent>
  <xr:revisionPtr revIDLastSave="0" documentId="8_{D98527D3-C5C3-40FC-9063-145308B19262}" xr6:coauthVersionLast="47" xr6:coauthVersionMax="47" xr10:uidLastSave="{00000000-0000-0000-0000-000000000000}"/>
  <bookViews>
    <workbookView xWindow="-107" yWindow="-107" windowWidth="20847" windowHeight="11111" xr2:uid="{D94DF848-0EE7-44DF-A4E0-22B008E4A3A5}"/>
  </bookViews>
  <sheets>
    <sheet name="M.O.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\f">#REF!</definedName>
    <definedName name="___________________________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_________INF2">#REF!</definedName>
    <definedName name="__________________________________________________________________________________________________________________________INF3">#REF!</definedName>
    <definedName name="__________________________________________________________________________________________________________________________INF5">#REF!</definedName>
    <definedName name="__________________________________________________________________________________________________________________________JAI1">#REF!</definedName>
    <definedName name="__________________________________________________________________________________________________________________________KLP1">#REF!</definedName>
    <definedName name="__________________________________________________________________________________________________________________________KLP3">#REF!</definedName>
    <definedName name="__________________________________________________________________________________________________________________________KLP4">#REF!</definedName>
    <definedName name="__________________________________________________________________________________________________________________________KLP5">#REF!</definedName>
    <definedName name="__________________________________________________________________________________________________________________________KLP6">#REF!</definedName>
    <definedName name="_________________________________________________________________________________________________________________INF2">#REF!</definedName>
    <definedName name="_________________________________________________________________________________________________________________INF3">#REF!</definedName>
    <definedName name="_________________________________________________________________________________________________________________INF5">#REF!</definedName>
    <definedName name="_________________________________________________________________________________________________________________JAI1">#REF!</definedName>
    <definedName name="_________________________________________________________________________________________________________________KLP1">#REF!</definedName>
    <definedName name="_________________________________________________________________________________________________________________KLP3">#REF!</definedName>
    <definedName name="_________________________________________________________________________________________________________________KLP4">#REF!</definedName>
    <definedName name="_________________________________________________________________________________________________________________KLP5">#REF!</definedName>
    <definedName name="_________________________________________________________________________________________________________________KLP6">#REF!</definedName>
    <definedName name="_____________________________________________________________________________________________________________INF2">#REF!</definedName>
    <definedName name="_____________________________________________________________________________________________________________INF3">#REF!</definedName>
    <definedName name="_____________________________________________________________________________________________________________INF5">#REF!</definedName>
    <definedName name="_____________________________________________________________________________________________________________JAI1">#REF!</definedName>
    <definedName name="_____________________________________________________________________________________________________________KLP1">#REF!</definedName>
    <definedName name="_____________________________________________________________________________________________________________KLP3">#REF!</definedName>
    <definedName name="_____________________________________________________________________________________________________________KLP4">#REF!</definedName>
    <definedName name="_____________________________________________________________________________________________________________KLP5">#REF!</definedName>
    <definedName name="_____________________________________________________________________________________________________________KLP6">#REF!</definedName>
    <definedName name="____________________________________________________________________________________________________________INF2">#REF!</definedName>
    <definedName name="____________________________________________________________________________________________________________INF3">#REF!</definedName>
    <definedName name="____________________________________________________________________________________________________________INF5">#REF!</definedName>
    <definedName name="____________________________________________________________________________________________________________JAI1">#REF!</definedName>
    <definedName name="____________________________________________________________________________________________________________KLP1">#REF!</definedName>
    <definedName name="____________________________________________________________________________________________________________KLP3">#REF!</definedName>
    <definedName name="____________________________________________________________________________________________________________KLP4">#REF!</definedName>
    <definedName name="____________________________________________________________________________________________________________KLP5">#REF!</definedName>
    <definedName name="____________________________________________________________________________________________________________KLP6">#REF!</definedName>
    <definedName name="__________________________________________________________________________________________________________INF2">#REF!</definedName>
    <definedName name="__________________________________________________________________________________________________________INF3">#REF!</definedName>
    <definedName name="__________________________________________________________________________________________________________INF5">#REF!</definedName>
    <definedName name="__________________________________________________________________________________________________________JAI1">#REF!</definedName>
    <definedName name="__________________________________________________________________________________________________________KLP1">#REF!</definedName>
    <definedName name="__________________________________________________________________________________________________________KLP3">#REF!</definedName>
    <definedName name="__________________________________________________________________________________________________________KLP4">#REF!</definedName>
    <definedName name="__________________________________________________________________________________________________________KLP5">#REF!</definedName>
    <definedName name="__________________________________________________________________________________________________________KLP6">#REF!</definedName>
    <definedName name="_________________________________________________________________________________________________________INF2">#REF!</definedName>
    <definedName name="_________________________________________________________________________________________________________INF3">#REF!</definedName>
    <definedName name="_________________________________________________________________________________________________________INF5">#REF!</definedName>
    <definedName name="_________________________________________________________________________________________________________JAI1">#REF!</definedName>
    <definedName name="_________________________________________________________________________________________________________KLP1">#REF!</definedName>
    <definedName name="_________________________________________________________________________________________________________KLP3">#REF!</definedName>
    <definedName name="_________________________________________________________________________________________________________KLP4">#REF!</definedName>
    <definedName name="_________________________________________________________________________________________________________KLP5">#REF!</definedName>
    <definedName name="_________________________________________________________________________________________________________KLP6">#REF!</definedName>
    <definedName name="_______________________________________________________________________________________INF2">#REF!</definedName>
    <definedName name="_______________________________________________________________________________________INF3">#REF!</definedName>
    <definedName name="_______________________________________________________________________________________INF5">#REF!</definedName>
    <definedName name="_______________________________________________________________________________________JAI1">#REF!</definedName>
    <definedName name="_______________________________________________________________________________________KLP1">#REF!</definedName>
    <definedName name="_______________________________________________________________________________________KLP3">#REF!</definedName>
    <definedName name="_______________________________________________________________________________________KLP4">#REF!</definedName>
    <definedName name="_______________________________________________________________________________________KLP5">#REF!</definedName>
    <definedName name="_______________________________________________________________________________________KLP6">#REF!</definedName>
    <definedName name="___________________________________________________________________________________INF2">#REF!</definedName>
    <definedName name="___________________________________________________________________________________INF3">#REF!</definedName>
    <definedName name="___________________________________________________________________________________INF5">#REF!</definedName>
    <definedName name="___________________________________________________________________________________JAI1">#REF!</definedName>
    <definedName name="___________________________________________________________________________________KLP1">#REF!</definedName>
    <definedName name="___________________________________________________________________________________KLP3">#REF!</definedName>
    <definedName name="___________________________________________________________________________________KLP4">#REF!</definedName>
    <definedName name="___________________________________________________________________________________KLP5">#REF!</definedName>
    <definedName name="___________________________________________________________________________________KLP6">#REF!</definedName>
    <definedName name="_________________________________________________________________________________INF2">#REF!</definedName>
    <definedName name="_________________________________________________________________________________INF3">#REF!</definedName>
    <definedName name="_________________________________________________________________________________INF5">#REF!</definedName>
    <definedName name="_________________________________________________________________________________JAI1">#REF!</definedName>
    <definedName name="_________________________________________________________________________________KLP1">#REF!</definedName>
    <definedName name="_________________________________________________________________________________KLP3">#REF!</definedName>
    <definedName name="_________________________________________________________________________________KLP4">#REF!</definedName>
    <definedName name="_________________________________________________________________________________KLP5">#REF!</definedName>
    <definedName name="_________________________________________________________________________________KLP6">#REF!</definedName>
    <definedName name="________________________________________________________________________________INF2">#REF!</definedName>
    <definedName name="________________________________________________________________________________INF3">#REF!</definedName>
    <definedName name="________________________________________________________________________________INF5">#REF!</definedName>
    <definedName name="________________________________________________________________________________JAI1">#REF!</definedName>
    <definedName name="________________________________________________________________________________KLP1">#REF!</definedName>
    <definedName name="________________________________________________________________________________KLP3">#REF!</definedName>
    <definedName name="________________________________________________________________________________KLP4">#REF!</definedName>
    <definedName name="________________________________________________________________________________KLP5">#REF!</definedName>
    <definedName name="________________________________________________________________________________KLP6">#REF!</definedName>
    <definedName name="______________________________________________________________________________INF2">#REF!</definedName>
    <definedName name="______________________________________________________________________________INF3">#REF!</definedName>
    <definedName name="______________________________________________________________________________INF5">#REF!</definedName>
    <definedName name="______________________________________________________________________________JAI1">#REF!</definedName>
    <definedName name="______________________________________________________________________________KLP1">#REF!</definedName>
    <definedName name="______________________________________________________________________________KLP3">#REF!</definedName>
    <definedName name="______________________________________________________________________________KLP4">#REF!</definedName>
    <definedName name="______________________________________________________________________________KLP5">#REF!</definedName>
    <definedName name="______________________________________________________________________________KLP6">#REF!</definedName>
    <definedName name="_____________________________________________________________________________INF2">#REF!</definedName>
    <definedName name="_____________________________________________________________________________INF3">#REF!</definedName>
    <definedName name="_____________________________________________________________________________INF5">#REF!</definedName>
    <definedName name="_____________________________________________________________________________JAI1">#REF!</definedName>
    <definedName name="_____________________________________________________________________________KLP1">#REF!</definedName>
    <definedName name="_____________________________________________________________________________KLP3">#REF!</definedName>
    <definedName name="_____________________________________________________________________________KLP4">#REF!</definedName>
    <definedName name="_____________________________________________________________________________KLP5">#REF!</definedName>
    <definedName name="_____________________________________________________________________________KLP6">#REF!</definedName>
    <definedName name="____________________________________________________________________________INF2">#REF!</definedName>
    <definedName name="____________________________________________________________________________INF3">#REF!</definedName>
    <definedName name="____________________________________________________________________________INF5">#REF!</definedName>
    <definedName name="____________________________________________________________________________JAI1">#REF!</definedName>
    <definedName name="____________________________________________________________________________KLP1">#REF!</definedName>
    <definedName name="____________________________________________________________________________KLP3">#REF!</definedName>
    <definedName name="____________________________________________________________________________KLP4">#REF!</definedName>
    <definedName name="____________________________________________________________________________KLP5">#REF!</definedName>
    <definedName name="____________________________________________________________________________KLP6">#REF!</definedName>
    <definedName name="__________________________________________________________________________INF2">#REF!</definedName>
    <definedName name="__________________________________________________________________________INF3">#REF!</definedName>
    <definedName name="__________________________________________________________________________INF5">#REF!</definedName>
    <definedName name="__________________________________________________________________________JAI1">#REF!</definedName>
    <definedName name="__________________________________________________________________________KLP1">#REF!</definedName>
    <definedName name="__________________________________________________________________________KLP3">#REF!</definedName>
    <definedName name="__________________________________________________________________________KLP4">#REF!</definedName>
    <definedName name="__________________________________________________________________________KLP5">#REF!</definedName>
    <definedName name="__________________________________________________________________________KLP6">#REF!</definedName>
    <definedName name="_________________________________________________________________________INF2">#REF!</definedName>
    <definedName name="_________________________________________________________________________INF3">#REF!</definedName>
    <definedName name="_________________________________________________________________________INF5">#REF!</definedName>
    <definedName name="_________________________________________________________________________JAI1">#REF!</definedName>
    <definedName name="_________________________________________________________________________KLP1">#REF!</definedName>
    <definedName name="_________________________________________________________________________KLP3">#REF!</definedName>
    <definedName name="_________________________________________________________________________KLP4">#REF!</definedName>
    <definedName name="_________________________________________________________________________KLP5">#REF!</definedName>
    <definedName name="_________________________________________________________________________KLP6">#REF!</definedName>
    <definedName name="________________________________________________________________________INF2">#REF!</definedName>
    <definedName name="________________________________________________________________________INF3">#REF!</definedName>
    <definedName name="________________________________________________________________________INF5">#REF!</definedName>
    <definedName name="________________________________________________________________________JAI1">#REF!</definedName>
    <definedName name="________________________________________________________________________KLP1">#REF!</definedName>
    <definedName name="________________________________________________________________________KLP3">#REF!</definedName>
    <definedName name="________________________________________________________________________KLP4">#REF!</definedName>
    <definedName name="________________________________________________________________________KLP5">#REF!</definedName>
    <definedName name="________________________________________________________________________KLP6">#REF!</definedName>
    <definedName name="_______________________________________________________________________INF2">#REF!</definedName>
    <definedName name="_______________________________________________________________________INF3">#REF!</definedName>
    <definedName name="_______________________________________________________________________INF5">#REF!</definedName>
    <definedName name="_______________________________________________________________________JAI1">#REF!</definedName>
    <definedName name="_______________________________________________________________________KLP1">#REF!</definedName>
    <definedName name="_______________________________________________________________________KLP3">#REF!</definedName>
    <definedName name="_______________________________________________________________________KLP4">#REF!</definedName>
    <definedName name="_______________________________________________________________________KLP5">#REF!</definedName>
    <definedName name="_______________________________________________________________________KLP6">#REF!</definedName>
    <definedName name="______________________________________________________________________INF2">#REF!</definedName>
    <definedName name="______________________________________________________________________INF3">#REF!</definedName>
    <definedName name="______________________________________________________________________INF5">#REF!</definedName>
    <definedName name="______________________________________________________________________JAI1">#REF!</definedName>
    <definedName name="______________________________________________________________________KLP1">#REF!</definedName>
    <definedName name="______________________________________________________________________KLP3">#REF!</definedName>
    <definedName name="______________________________________________________________________KLP4">#REF!</definedName>
    <definedName name="______________________________________________________________________KLP5">#REF!</definedName>
    <definedName name="______________________________________________________________________KLP6">#REF!</definedName>
    <definedName name="_____________________________________________________________________INF2">#REF!</definedName>
    <definedName name="_____________________________________________________________________INF3">#REF!</definedName>
    <definedName name="_____________________________________________________________________INF5">#REF!</definedName>
    <definedName name="_____________________________________________________________________JAI1">#REF!</definedName>
    <definedName name="_____________________________________________________________________KLP1">#REF!</definedName>
    <definedName name="_____________________________________________________________________KLP3">#REF!</definedName>
    <definedName name="_____________________________________________________________________KLP4">#REF!</definedName>
    <definedName name="_____________________________________________________________________KLP5">#REF!</definedName>
    <definedName name="_____________________________________________________________________KLP6">#REF!</definedName>
    <definedName name="____________________________________________________________________INF2">#REF!</definedName>
    <definedName name="____________________________________________________________________INF3">#REF!</definedName>
    <definedName name="____________________________________________________________________INF5">#REF!</definedName>
    <definedName name="____________________________________________________________________JAI1">#REF!</definedName>
    <definedName name="____________________________________________________________________KLP1">#REF!</definedName>
    <definedName name="____________________________________________________________________KLP3">#REF!</definedName>
    <definedName name="____________________________________________________________________KLP4">#REF!</definedName>
    <definedName name="____________________________________________________________________KLP5">#REF!</definedName>
    <definedName name="____________________________________________________________________KLP6">#REF!</definedName>
    <definedName name="___________________________________________________________________INF2">#REF!</definedName>
    <definedName name="___________________________________________________________________INF3">#REF!</definedName>
    <definedName name="___________________________________________________________________INF5">#REF!</definedName>
    <definedName name="___________________________________________________________________JAI1">#REF!</definedName>
    <definedName name="___________________________________________________________________KLP1">#REF!</definedName>
    <definedName name="___________________________________________________________________KLP3">#REF!</definedName>
    <definedName name="___________________________________________________________________KLP4">#REF!</definedName>
    <definedName name="___________________________________________________________________KLP5">#REF!</definedName>
    <definedName name="___________________________________________________________________KLP6">#REF!</definedName>
    <definedName name="__________________________________________________________________INF2">#REF!</definedName>
    <definedName name="__________________________________________________________________INF3">#REF!</definedName>
    <definedName name="__________________________________________________________________INF5">#REF!</definedName>
    <definedName name="__________________________________________________________________JAI1">#REF!</definedName>
    <definedName name="__________________________________________________________________KLP1">#REF!</definedName>
    <definedName name="__________________________________________________________________KLP3">#REF!</definedName>
    <definedName name="__________________________________________________________________KLP4">#REF!</definedName>
    <definedName name="__________________________________________________________________KLP5">#REF!</definedName>
    <definedName name="__________________________________________________________________KLP6">#REF!</definedName>
    <definedName name="_________________________________________________________________INF2">#REF!</definedName>
    <definedName name="_________________________________________________________________INF3">#REF!</definedName>
    <definedName name="_________________________________________________________________INF5">#REF!</definedName>
    <definedName name="_________________________________________________________________JAI1">#REF!</definedName>
    <definedName name="_________________________________________________________________KLP1">#REF!</definedName>
    <definedName name="_________________________________________________________________KLP3">#REF!</definedName>
    <definedName name="_________________________________________________________________KLP4">#REF!</definedName>
    <definedName name="_________________________________________________________________KLP5">#REF!</definedName>
    <definedName name="_________________________________________________________________KLP6">#REF!</definedName>
    <definedName name="________________________________________________________________INF2">#REF!</definedName>
    <definedName name="________________________________________________________________INF3">#REF!</definedName>
    <definedName name="________________________________________________________________INF5">#REF!</definedName>
    <definedName name="________________________________________________________________JAI1">#REF!</definedName>
    <definedName name="________________________________________________________________KLP1">#REF!</definedName>
    <definedName name="________________________________________________________________KLP3">#REF!</definedName>
    <definedName name="________________________________________________________________KLP4">#REF!</definedName>
    <definedName name="________________________________________________________________KLP5">#REF!</definedName>
    <definedName name="________________________________________________________________KLP6">#REF!</definedName>
    <definedName name="_______________________________________________________________INF2">#REF!</definedName>
    <definedName name="_______________________________________________________________INF3">#REF!</definedName>
    <definedName name="_______________________________________________________________INF5">#REF!</definedName>
    <definedName name="_______________________________________________________________JAI1">#REF!</definedName>
    <definedName name="_______________________________________________________________KLP1">#REF!</definedName>
    <definedName name="_______________________________________________________________KLP3">#REF!</definedName>
    <definedName name="_______________________________________________________________KLP4">#REF!</definedName>
    <definedName name="_______________________________________________________________KLP5">#REF!</definedName>
    <definedName name="_______________________________________________________________KLP6">#REF!</definedName>
    <definedName name="______________________________________________________________INF2">#REF!</definedName>
    <definedName name="______________________________________________________________INF3">#REF!</definedName>
    <definedName name="______________________________________________________________INF5">#REF!</definedName>
    <definedName name="______________________________________________________________JAI1">#REF!</definedName>
    <definedName name="______________________________________________________________KLP1">#REF!</definedName>
    <definedName name="______________________________________________________________KLP3">#REF!</definedName>
    <definedName name="______________________________________________________________KLP4">#REF!</definedName>
    <definedName name="______________________________________________________________KLP5">#REF!</definedName>
    <definedName name="______________________________________________________________KLP6">#REF!</definedName>
    <definedName name="_____________________________________________________________INF2">#REF!</definedName>
    <definedName name="_____________________________________________________________INF3">#REF!</definedName>
    <definedName name="_____________________________________________________________INF5">#REF!</definedName>
    <definedName name="_____________________________________________________________JAI1">#REF!</definedName>
    <definedName name="_____________________________________________________________KLP1">#REF!</definedName>
    <definedName name="_____________________________________________________________KLP3">#REF!</definedName>
    <definedName name="_____________________________________________________________KLP4">#REF!</definedName>
    <definedName name="_____________________________________________________________KLP5">#REF!</definedName>
    <definedName name="_____________________________________________________________KLP6">#REF!</definedName>
    <definedName name="____________________________________________________________INF2">#REF!</definedName>
    <definedName name="____________________________________________________________INF3">#REF!</definedName>
    <definedName name="____________________________________________________________INF5">#REF!</definedName>
    <definedName name="____________________________________________________________JAI1">#REF!</definedName>
    <definedName name="____________________________________________________________KLP1">#REF!</definedName>
    <definedName name="____________________________________________________________KLP3">#REF!</definedName>
    <definedName name="____________________________________________________________KLP4">#REF!</definedName>
    <definedName name="____________________________________________________________KLP5">#REF!</definedName>
    <definedName name="____________________________________________________________KLP6">#REF!</definedName>
    <definedName name="___________________________________________________________INF2">#REF!</definedName>
    <definedName name="___________________________________________________________INF3">#REF!</definedName>
    <definedName name="___________________________________________________________INF5">#REF!</definedName>
    <definedName name="___________________________________________________________JAI1">#REF!</definedName>
    <definedName name="___________________________________________________________KLP1">#REF!</definedName>
    <definedName name="___________________________________________________________KLP3">#REF!</definedName>
    <definedName name="___________________________________________________________KLP4">#REF!</definedName>
    <definedName name="___________________________________________________________KLP5">#REF!</definedName>
    <definedName name="___________________________________________________________KLP6">#REF!</definedName>
    <definedName name="__________________________________________________________INF2">#REF!</definedName>
    <definedName name="__________________________________________________________INF3">#REF!</definedName>
    <definedName name="__________________________________________________________INF5">#REF!</definedName>
    <definedName name="__________________________________________________________JAI1">#REF!</definedName>
    <definedName name="__________________________________________________________KLP1">#REF!</definedName>
    <definedName name="__________________________________________________________KLP3">#REF!</definedName>
    <definedName name="__________________________________________________________KLP4">#REF!</definedName>
    <definedName name="__________________________________________________________KLP5">#REF!</definedName>
    <definedName name="__________________________________________________________KLP6">#REF!</definedName>
    <definedName name="_________________________________________________________INF2">#REF!</definedName>
    <definedName name="_________________________________________________________INF3">#REF!</definedName>
    <definedName name="_________________________________________________________INF5">#REF!</definedName>
    <definedName name="_________________________________________________________JAI1">#REF!</definedName>
    <definedName name="_________________________________________________________KLP1">#REF!</definedName>
    <definedName name="_________________________________________________________KLP3">#REF!</definedName>
    <definedName name="_________________________________________________________KLP4">#REF!</definedName>
    <definedName name="_________________________________________________________KLP5">#REF!</definedName>
    <definedName name="_________________________________________________________KLP6">#REF!</definedName>
    <definedName name="________________________________________________________INF2">#REF!</definedName>
    <definedName name="________________________________________________________INF3">#REF!</definedName>
    <definedName name="________________________________________________________INF5">#REF!</definedName>
    <definedName name="________________________________________________________JAI1">#REF!</definedName>
    <definedName name="________________________________________________________KLP1">#REF!</definedName>
    <definedName name="________________________________________________________KLP3">#REF!</definedName>
    <definedName name="________________________________________________________KLP4">#REF!</definedName>
    <definedName name="________________________________________________________KLP5">#REF!</definedName>
    <definedName name="________________________________________________________KLP6">#REF!</definedName>
    <definedName name="_______________________________________________________INF2">#REF!</definedName>
    <definedName name="_______________________________________________________INF3">#REF!</definedName>
    <definedName name="_______________________________________________________INF5">#REF!</definedName>
    <definedName name="_______________________________________________________JAI1">#REF!</definedName>
    <definedName name="_______________________________________________________KLP1">#REF!</definedName>
    <definedName name="_______________________________________________________KLP3">#REF!</definedName>
    <definedName name="_______________________________________________________KLP4">#REF!</definedName>
    <definedName name="_______________________________________________________KLP5">#REF!</definedName>
    <definedName name="_______________________________________________________KLP6">#REF!</definedName>
    <definedName name="_____________________________________________________INF2">#REF!</definedName>
    <definedName name="_____________________________________________________INF3">#REF!</definedName>
    <definedName name="_____________________________________________________INF5">#REF!</definedName>
    <definedName name="_____________________________________________________JAI1">#REF!</definedName>
    <definedName name="_____________________________________________________KLP1">#REF!</definedName>
    <definedName name="_____________________________________________________KLP3">#REF!</definedName>
    <definedName name="_____________________________________________________KLP4">#REF!</definedName>
    <definedName name="_____________________________________________________KLP5">#REF!</definedName>
    <definedName name="_____________________________________________________KLP6">#REF!</definedName>
    <definedName name="____________________________________________________INF2">#REF!</definedName>
    <definedName name="____________________________________________________INF3">#REF!</definedName>
    <definedName name="____________________________________________________INF5">#REF!</definedName>
    <definedName name="____________________________________________________JAI1">#REF!</definedName>
    <definedName name="____________________________________________________KLP1">#REF!</definedName>
    <definedName name="____________________________________________________KLP3">#REF!</definedName>
    <definedName name="____________________________________________________KLP4">#REF!</definedName>
    <definedName name="____________________________________________________KLP5">#REF!</definedName>
    <definedName name="____________________________________________________KLP6">#REF!</definedName>
    <definedName name="___________________________________________________INF2">#REF!</definedName>
    <definedName name="___________________________________________________INF3">#REF!</definedName>
    <definedName name="___________________________________________________INF5">#REF!</definedName>
    <definedName name="___________________________________________________JAI1">#REF!</definedName>
    <definedName name="___________________________________________________KLP1">#REF!</definedName>
    <definedName name="___________________________________________________KLP3">#REF!</definedName>
    <definedName name="___________________________________________________KLP4">#REF!</definedName>
    <definedName name="___________________________________________________KLP5">#REF!</definedName>
    <definedName name="___________________________________________________KLP6">#REF!</definedName>
    <definedName name="__________________________________________________INF2">#REF!</definedName>
    <definedName name="__________________________________________________INF3">#REF!</definedName>
    <definedName name="__________________________________________________INF5">#REF!</definedName>
    <definedName name="__________________________________________________JAI1">#REF!</definedName>
    <definedName name="__________________________________________________KLP1">#REF!</definedName>
    <definedName name="__________________________________________________KLP3">#REF!</definedName>
    <definedName name="__________________________________________________KLP4">#REF!</definedName>
    <definedName name="__________________________________________________KLP5">#REF!</definedName>
    <definedName name="__________________________________________________KLP6">#REF!</definedName>
    <definedName name="_________________________________________________INF2">#REF!</definedName>
    <definedName name="_________________________________________________INF3">#REF!</definedName>
    <definedName name="_________________________________________________INF5">#REF!</definedName>
    <definedName name="_________________________________________________JAI1">#REF!</definedName>
    <definedName name="_________________________________________________KLP1">#REF!</definedName>
    <definedName name="_________________________________________________KLP3">#REF!</definedName>
    <definedName name="_________________________________________________KLP4">#REF!</definedName>
    <definedName name="_________________________________________________KLP5">#REF!</definedName>
    <definedName name="_________________________________________________KLP6">#REF!</definedName>
    <definedName name="________________________________________________INF2">#REF!</definedName>
    <definedName name="________________________________________________INF3">#REF!</definedName>
    <definedName name="________________________________________________INF5">#REF!</definedName>
    <definedName name="________________________________________________JAI1">#REF!</definedName>
    <definedName name="________________________________________________KLP1">#REF!</definedName>
    <definedName name="________________________________________________KLP3">#REF!</definedName>
    <definedName name="________________________________________________KLP4">#REF!</definedName>
    <definedName name="________________________________________________KLP5">#REF!</definedName>
    <definedName name="________________________________________________KLP6">#REF!</definedName>
    <definedName name="_______________________________________________INF2">#REF!</definedName>
    <definedName name="_______________________________________________INF3">#REF!</definedName>
    <definedName name="_______________________________________________INF5">#REF!</definedName>
    <definedName name="_______________________________________________JAI1">#REF!</definedName>
    <definedName name="_______________________________________________KLP1">#REF!</definedName>
    <definedName name="_______________________________________________KLP3">#REF!</definedName>
    <definedName name="_______________________________________________KLP4">#REF!</definedName>
    <definedName name="_______________________________________________KLP5">#REF!</definedName>
    <definedName name="_______________________________________________KLP6">#REF!</definedName>
    <definedName name="_____________________________________________INF2">#REF!</definedName>
    <definedName name="_____________________________________________INF3">#REF!</definedName>
    <definedName name="_____________________________________________INF5">#REF!</definedName>
    <definedName name="_____________________________________________JAI1">#REF!</definedName>
    <definedName name="_____________________________________________KLP1">#REF!</definedName>
    <definedName name="_____________________________________________KLP3">#REF!</definedName>
    <definedName name="_____________________________________________KLP4">#REF!</definedName>
    <definedName name="_____________________________________________KLP5">#REF!</definedName>
    <definedName name="_____________________________________________KLP6">#REF!</definedName>
    <definedName name="____________________________________________INF2">#REF!</definedName>
    <definedName name="____________________________________________INF3">#REF!</definedName>
    <definedName name="____________________________________________INF5">#REF!</definedName>
    <definedName name="____________________________________________JAI1">#REF!</definedName>
    <definedName name="____________________________________________KLP1">#REF!</definedName>
    <definedName name="____________________________________________KLP3">#REF!</definedName>
    <definedName name="____________________________________________KLP4">#REF!</definedName>
    <definedName name="____________________________________________KLP5">#REF!</definedName>
    <definedName name="____________________________________________KLP6">#REF!</definedName>
    <definedName name="___________________________________________INF2">#REF!</definedName>
    <definedName name="___________________________________________INF3">#REF!</definedName>
    <definedName name="___________________________________________INF5">#REF!</definedName>
    <definedName name="___________________________________________JAI1">#REF!</definedName>
    <definedName name="___________________________________________KLP1">#REF!</definedName>
    <definedName name="___________________________________________KLP3">#REF!</definedName>
    <definedName name="___________________________________________KLP4">#REF!</definedName>
    <definedName name="___________________________________________KLP5">#REF!</definedName>
    <definedName name="___________________________________________KLP6">#REF!</definedName>
    <definedName name="__________________________________________INF2">#REF!</definedName>
    <definedName name="__________________________________________INF3">#REF!</definedName>
    <definedName name="__________________________________________INF5">#REF!</definedName>
    <definedName name="__________________________________________JAI1">#REF!</definedName>
    <definedName name="__________________________________________KLP1">#REF!</definedName>
    <definedName name="__________________________________________KLP3">#REF!</definedName>
    <definedName name="__________________________________________KLP4">#REF!</definedName>
    <definedName name="__________________________________________KLP5">#REF!</definedName>
    <definedName name="__________________________________________KLP6">#REF!</definedName>
    <definedName name="_________________________________________INF2">#REF!</definedName>
    <definedName name="_________________________________________INF3">#REF!</definedName>
    <definedName name="_________________________________________INF5">#REF!</definedName>
    <definedName name="_________________________________________JAI1">#REF!</definedName>
    <definedName name="_________________________________________KLP1">#REF!</definedName>
    <definedName name="_________________________________________KLP3">#REF!</definedName>
    <definedName name="_________________________________________KLP4">#REF!</definedName>
    <definedName name="_________________________________________KLP5">#REF!</definedName>
    <definedName name="_________________________________________KLP6">#REF!</definedName>
    <definedName name="________________________________________INF2">#REF!</definedName>
    <definedName name="________________________________________INF3">#REF!</definedName>
    <definedName name="________________________________________INF5">#REF!</definedName>
    <definedName name="________________________________________JAI1">#REF!</definedName>
    <definedName name="________________________________________KLP1">#REF!</definedName>
    <definedName name="________________________________________KLP3">#REF!</definedName>
    <definedName name="________________________________________KLP4">#REF!</definedName>
    <definedName name="________________________________________KLP5">#REF!</definedName>
    <definedName name="________________________________________KLP6">#REF!</definedName>
    <definedName name="_______________________________________INF2">#REF!</definedName>
    <definedName name="_______________________________________INF3">#REF!</definedName>
    <definedName name="_______________________________________INF5">#REF!</definedName>
    <definedName name="_______________________________________JAI1">#REF!</definedName>
    <definedName name="_______________________________________KLP1">#REF!</definedName>
    <definedName name="_______________________________________KLP3">#REF!</definedName>
    <definedName name="_______________________________________KLP4">#REF!</definedName>
    <definedName name="_______________________________________KLP5">#REF!</definedName>
    <definedName name="_______________________________________KLP6">#REF!</definedName>
    <definedName name="______________________________________INF2">#REF!</definedName>
    <definedName name="______________________________________INF3">#REF!</definedName>
    <definedName name="______________________________________INF5">#REF!</definedName>
    <definedName name="______________________________________JAI1">#REF!</definedName>
    <definedName name="______________________________________KLP1">#REF!</definedName>
    <definedName name="______________________________________KLP3">#REF!</definedName>
    <definedName name="______________________________________KLP4">#REF!</definedName>
    <definedName name="______________________________________KLP5">#REF!</definedName>
    <definedName name="______________________________________KLP6">#REF!</definedName>
    <definedName name="_____________________________________INF2">#REF!</definedName>
    <definedName name="_____________________________________INF3">#REF!</definedName>
    <definedName name="_____________________________________INF5">#REF!</definedName>
    <definedName name="_____________________________________JAI1">#REF!</definedName>
    <definedName name="_____________________________________KLP1">#REF!</definedName>
    <definedName name="_____________________________________KLP3">#REF!</definedName>
    <definedName name="_____________________________________KLP4">#REF!</definedName>
    <definedName name="_____________________________________KLP5">#REF!</definedName>
    <definedName name="_____________________________________KLP6">#REF!</definedName>
    <definedName name="____________________________________INF2">#REF!</definedName>
    <definedName name="____________________________________INF3">#REF!</definedName>
    <definedName name="____________________________________INF5">#REF!</definedName>
    <definedName name="____________________________________JAI1">#REF!</definedName>
    <definedName name="____________________________________KLP1">#REF!</definedName>
    <definedName name="____________________________________KLP3">#REF!</definedName>
    <definedName name="____________________________________KLP4">#REF!</definedName>
    <definedName name="____________________________________KLP5">#REF!</definedName>
    <definedName name="____________________________________KLP6">#REF!</definedName>
    <definedName name="___________________________________INF2">#REF!</definedName>
    <definedName name="___________________________________INF3">#REF!</definedName>
    <definedName name="___________________________________INF5">#REF!</definedName>
    <definedName name="___________________________________JAI1">#REF!</definedName>
    <definedName name="___________________________________KLP1">#REF!</definedName>
    <definedName name="___________________________________KLP3">#REF!</definedName>
    <definedName name="___________________________________KLP4">#REF!</definedName>
    <definedName name="___________________________________KLP5">#REF!</definedName>
    <definedName name="___________________________________KLP6">#REF!</definedName>
    <definedName name="__________________________________INF2">#REF!</definedName>
    <definedName name="__________________________________INF3">#REF!</definedName>
    <definedName name="__________________________________INF5">#REF!</definedName>
    <definedName name="__________________________________JAI1">#REF!</definedName>
    <definedName name="__________________________________KLP1">#REF!</definedName>
    <definedName name="__________________________________KLP3">#REF!</definedName>
    <definedName name="__________________________________KLP4">#REF!</definedName>
    <definedName name="__________________________________KLP5">#REF!</definedName>
    <definedName name="__________________________________KLP6">#REF!</definedName>
    <definedName name="_________________________________INF2">#REF!</definedName>
    <definedName name="_________________________________INF3">#REF!</definedName>
    <definedName name="_________________________________INF5">#REF!</definedName>
    <definedName name="_________________________________JAI1">#REF!</definedName>
    <definedName name="_________________________________KLP1">#REF!</definedName>
    <definedName name="_________________________________KLP3">#REF!</definedName>
    <definedName name="_________________________________KLP4">#REF!</definedName>
    <definedName name="_________________________________KLP5">#REF!</definedName>
    <definedName name="_________________________________KLP6">#REF!</definedName>
    <definedName name="________________________________INF2">#REF!</definedName>
    <definedName name="________________________________INF3">#REF!</definedName>
    <definedName name="________________________________INF5">#REF!</definedName>
    <definedName name="________________________________JAI1">#REF!</definedName>
    <definedName name="________________________________KLP1">#REF!</definedName>
    <definedName name="________________________________KLP3">#REF!</definedName>
    <definedName name="________________________________KLP4">#REF!</definedName>
    <definedName name="________________________________KLP5">#REF!</definedName>
    <definedName name="________________________________KLP6">#REF!</definedName>
    <definedName name="_______________________________INF2">#REF!</definedName>
    <definedName name="_______________________________INF3">#REF!</definedName>
    <definedName name="_______________________________INF5">#REF!</definedName>
    <definedName name="_______________________________JAI1">#REF!</definedName>
    <definedName name="_______________________________KLP1">#REF!</definedName>
    <definedName name="_______________________________KLP3">#REF!</definedName>
    <definedName name="_______________________________KLP4">#REF!</definedName>
    <definedName name="_______________________________KLP5">#REF!</definedName>
    <definedName name="_______________________________KLP6">#REF!</definedName>
    <definedName name="______________________________INF2">#REF!</definedName>
    <definedName name="______________________________INF3">#REF!</definedName>
    <definedName name="______________________________INF5">#REF!</definedName>
    <definedName name="______________________________JAI1">#REF!</definedName>
    <definedName name="______________________________KLP1">#REF!</definedName>
    <definedName name="______________________________KLP3">#REF!</definedName>
    <definedName name="______________________________KLP4">#REF!</definedName>
    <definedName name="______________________________KLP5">#REF!</definedName>
    <definedName name="______________________________KLP6">#REF!</definedName>
    <definedName name="_____________________________INF2">#REF!</definedName>
    <definedName name="_____________________________INF3">#REF!</definedName>
    <definedName name="_____________________________INF5">#REF!</definedName>
    <definedName name="_____________________________JAI1">#REF!</definedName>
    <definedName name="_____________________________KLP1">#REF!</definedName>
    <definedName name="_____________________________KLP3">#REF!</definedName>
    <definedName name="_____________________________KLP4">#REF!</definedName>
    <definedName name="_____________________________KLP5">#REF!</definedName>
    <definedName name="_____________________________KLP6">#REF!</definedName>
    <definedName name="____________________________INF2">#REF!</definedName>
    <definedName name="____________________________INF3">#REF!</definedName>
    <definedName name="____________________________INF5">#REF!</definedName>
    <definedName name="____________________________JAI1">#REF!</definedName>
    <definedName name="____________________________KLP1">#REF!</definedName>
    <definedName name="____________________________KLP3">#REF!</definedName>
    <definedName name="____________________________KLP4">#REF!</definedName>
    <definedName name="____________________________KLP5">#REF!</definedName>
    <definedName name="____________________________KLP6">#REF!</definedName>
    <definedName name="___________________________INF2">#REF!</definedName>
    <definedName name="___________________________INF3">#REF!</definedName>
    <definedName name="___________________________INF5">#REF!</definedName>
    <definedName name="___________________________JAI1">#REF!</definedName>
    <definedName name="___________________________KLP1">#REF!</definedName>
    <definedName name="___________________________KLP3">#REF!</definedName>
    <definedName name="___________________________KLP4">#REF!</definedName>
    <definedName name="___________________________KLP5">#REF!</definedName>
    <definedName name="___________________________KLP6">#REF!</definedName>
    <definedName name="__________________________INF2">#REF!</definedName>
    <definedName name="__________________________INF3">#REF!</definedName>
    <definedName name="__________________________INF5">#REF!</definedName>
    <definedName name="__________________________JAI1">#REF!</definedName>
    <definedName name="__________________________KLP1">#REF!</definedName>
    <definedName name="__________________________KLP3">#REF!</definedName>
    <definedName name="__________________________KLP4">#REF!</definedName>
    <definedName name="__________________________KLP5">#REF!</definedName>
    <definedName name="__________________________KLP6">#REF!</definedName>
    <definedName name="________________________INF2">#REF!</definedName>
    <definedName name="________________________INF3">#REF!</definedName>
    <definedName name="________________________INF5">#REF!</definedName>
    <definedName name="________________________JAI1">#REF!</definedName>
    <definedName name="________________________KLP1">#REF!</definedName>
    <definedName name="________________________KLP3">#REF!</definedName>
    <definedName name="________________________KLP4">#REF!</definedName>
    <definedName name="________________________KLP5">#REF!</definedName>
    <definedName name="________________________KLP6">#REF!</definedName>
    <definedName name="_______________________INF2">#REF!</definedName>
    <definedName name="_______________________INF3">#REF!</definedName>
    <definedName name="_______________________INF5">#REF!</definedName>
    <definedName name="_______________________JAI1">#REF!</definedName>
    <definedName name="_______________________KLP1">#REF!</definedName>
    <definedName name="_______________________KLP3">#REF!</definedName>
    <definedName name="_______________________KLP4">#REF!</definedName>
    <definedName name="_______________________KLP5">#REF!</definedName>
    <definedName name="_______________________KLP6">#REF!</definedName>
    <definedName name="______________________INF2">#REF!</definedName>
    <definedName name="______________________INF3">#REF!</definedName>
    <definedName name="______________________INF5">#REF!</definedName>
    <definedName name="______________________JAI1">#REF!</definedName>
    <definedName name="______________________KLP1">#REF!</definedName>
    <definedName name="______________________KLP3">#REF!</definedName>
    <definedName name="______________________KLP4">#REF!</definedName>
    <definedName name="______________________KLP5">#REF!</definedName>
    <definedName name="______________________KLP6">#REF!</definedName>
    <definedName name="_____________________INF2">#REF!</definedName>
    <definedName name="_____________________INF3">#REF!</definedName>
    <definedName name="_____________________INF5">#REF!</definedName>
    <definedName name="_____________________JAI1">#REF!</definedName>
    <definedName name="_____________________KLP1">#REF!</definedName>
    <definedName name="_____________________KLP3">#REF!</definedName>
    <definedName name="_____________________KLP4">#REF!</definedName>
    <definedName name="_____________________KLP5">#REF!</definedName>
    <definedName name="_____________________KLP6">#REF!</definedName>
    <definedName name="____________________INF2">#REF!</definedName>
    <definedName name="____________________INF3">#REF!</definedName>
    <definedName name="____________________INF5">#REF!</definedName>
    <definedName name="____________________JAI1">#REF!</definedName>
    <definedName name="____________________KLP1">#REF!</definedName>
    <definedName name="____________________KLP3">#REF!</definedName>
    <definedName name="____________________KLP4">#REF!</definedName>
    <definedName name="____________________KLP5">#REF!</definedName>
    <definedName name="____________________KLP6">#REF!</definedName>
    <definedName name="__________________INF2">#REF!</definedName>
    <definedName name="__________________INF3">#REF!</definedName>
    <definedName name="__________________INF5">#REF!</definedName>
    <definedName name="__________________JAI1">#REF!</definedName>
    <definedName name="__________________KLP1">#REF!</definedName>
    <definedName name="__________________KLP3">#REF!</definedName>
    <definedName name="__________________KLP4">#REF!</definedName>
    <definedName name="__________________KLP5">#REF!</definedName>
    <definedName name="__________________KLP6">#REF!</definedName>
    <definedName name="_________________INF2">#REF!</definedName>
    <definedName name="_________________INF3">#REF!</definedName>
    <definedName name="_________________INF5">#REF!</definedName>
    <definedName name="_________________JAI1">#REF!</definedName>
    <definedName name="_________________KLP1">#REF!</definedName>
    <definedName name="_________________KLP3">#REF!</definedName>
    <definedName name="_________________KLP4">#REF!</definedName>
    <definedName name="_________________KLP5">#REF!</definedName>
    <definedName name="_________________KLP6">#REF!</definedName>
    <definedName name="________________INF2">#REF!</definedName>
    <definedName name="________________INF3">#REF!</definedName>
    <definedName name="________________INF5">#REF!</definedName>
    <definedName name="________________JAI1">#REF!</definedName>
    <definedName name="________________KLP1">#REF!</definedName>
    <definedName name="________________KLP3">#REF!</definedName>
    <definedName name="________________KLP4">#REF!</definedName>
    <definedName name="________________KLP5">#REF!</definedName>
    <definedName name="________________KLP6">#REF!</definedName>
    <definedName name="_______________INF2">#REF!</definedName>
    <definedName name="_______________INF3">#REF!</definedName>
    <definedName name="_______________INF5">#REF!</definedName>
    <definedName name="_______________JAI1">#REF!</definedName>
    <definedName name="_______________KLP1">#REF!</definedName>
    <definedName name="_______________KLP3">#REF!</definedName>
    <definedName name="_______________KLP4">#REF!</definedName>
    <definedName name="_______________KLP5">#REF!</definedName>
    <definedName name="_______________KLP6">#REF!</definedName>
    <definedName name="______________INF2">#REF!</definedName>
    <definedName name="______________INF3">#REF!</definedName>
    <definedName name="______________INF5">#REF!</definedName>
    <definedName name="______________JAI1">#REF!</definedName>
    <definedName name="______________KLP1">#REF!</definedName>
    <definedName name="______________KLP3">#REF!</definedName>
    <definedName name="______________KLP4">#REF!</definedName>
    <definedName name="______________KLP5">#REF!</definedName>
    <definedName name="______________KLP6">#REF!</definedName>
    <definedName name="_____________INF2">#REF!</definedName>
    <definedName name="_____________INF3">#REF!</definedName>
    <definedName name="_____________INF5">#REF!</definedName>
    <definedName name="_____________JAI1">#REF!</definedName>
    <definedName name="_____________KLP1">#REF!</definedName>
    <definedName name="_____________KLP3">#REF!</definedName>
    <definedName name="_____________KLP4">#REF!</definedName>
    <definedName name="_____________KLP5">#REF!</definedName>
    <definedName name="_____________KLP6">#REF!</definedName>
    <definedName name="____________INF2">#REF!</definedName>
    <definedName name="____________INF3">#REF!</definedName>
    <definedName name="____________INF5">#REF!</definedName>
    <definedName name="____________JAI1">#REF!</definedName>
    <definedName name="____________KLP1">#REF!</definedName>
    <definedName name="____________KLP3">#REF!</definedName>
    <definedName name="____________KLP4">#REF!</definedName>
    <definedName name="____________KLP5">#REF!</definedName>
    <definedName name="____________KLP6">#REF!</definedName>
    <definedName name="___________INF2">#REF!</definedName>
    <definedName name="___________INF3">#REF!</definedName>
    <definedName name="___________INF5">#REF!</definedName>
    <definedName name="___________JAI1">#REF!</definedName>
    <definedName name="___________KLP1">#REF!</definedName>
    <definedName name="___________KLP3">#REF!</definedName>
    <definedName name="___________KLP4">#REF!</definedName>
    <definedName name="___________KLP5">#REF!</definedName>
    <definedName name="___________KLP6">#REF!</definedName>
    <definedName name="__________INF2">#REF!</definedName>
    <definedName name="__________INF3">#REF!</definedName>
    <definedName name="__________INF5">#REF!</definedName>
    <definedName name="__________JAI1">#REF!</definedName>
    <definedName name="__________KLP1">#REF!</definedName>
    <definedName name="__________KLP3">#REF!</definedName>
    <definedName name="__________KLP4">#REF!</definedName>
    <definedName name="__________KLP5">#REF!</definedName>
    <definedName name="__________KLP6">#REF!</definedName>
    <definedName name="_________INF2">#REF!</definedName>
    <definedName name="_________INF3">#REF!</definedName>
    <definedName name="_________INF5">#REF!</definedName>
    <definedName name="_________JAI1">#REF!</definedName>
    <definedName name="_________KLP1">#REF!</definedName>
    <definedName name="_________KLP3">#REF!</definedName>
    <definedName name="_________KLP4">#REF!</definedName>
    <definedName name="_________KLP5">#REF!</definedName>
    <definedName name="_________KLP6">#REF!</definedName>
    <definedName name="________INF2">#REF!</definedName>
    <definedName name="________INF3">#REF!</definedName>
    <definedName name="________INF5">#REF!</definedName>
    <definedName name="________JAI1">#REF!</definedName>
    <definedName name="________KLP1">#REF!</definedName>
    <definedName name="________KLP3">#REF!</definedName>
    <definedName name="________KLP4">#REF!</definedName>
    <definedName name="________KLP5">#REF!</definedName>
    <definedName name="________KLP6">#REF!</definedName>
    <definedName name="_______INF2">#REF!</definedName>
    <definedName name="_______INF3">#REF!</definedName>
    <definedName name="_______INF5">#REF!</definedName>
    <definedName name="_______JAI1">#REF!</definedName>
    <definedName name="_______KLP1">#REF!</definedName>
    <definedName name="_______KLP3">#REF!</definedName>
    <definedName name="_______KLP4">#REF!</definedName>
    <definedName name="_______KLP5">#REF!</definedName>
    <definedName name="_______KLP6">#REF!</definedName>
    <definedName name="______INF2">#REF!</definedName>
    <definedName name="______INF3">#REF!</definedName>
    <definedName name="______INF5">#REF!</definedName>
    <definedName name="______JAI1">#REF!</definedName>
    <definedName name="______KLP1">#REF!</definedName>
    <definedName name="______KLP3">#REF!</definedName>
    <definedName name="______KLP4">#REF!</definedName>
    <definedName name="______KLP5">#REF!</definedName>
    <definedName name="______KLP6">#REF!</definedName>
    <definedName name="_____INF2">#REF!</definedName>
    <definedName name="_____INF3">#REF!</definedName>
    <definedName name="_____INF5">#REF!</definedName>
    <definedName name="_____JAI1">#REF!</definedName>
    <definedName name="_____KLP1">#REF!</definedName>
    <definedName name="_____KLP3">#REF!</definedName>
    <definedName name="_____KLP4">#REF!</definedName>
    <definedName name="_____KLP5">#REF!</definedName>
    <definedName name="_____KLP6">#REF!</definedName>
    <definedName name="____INF2">#REF!</definedName>
    <definedName name="____INF3">#REF!</definedName>
    <definedName name="____INF5">#REF!</definedName>
    <definedName name="____JAI1">#REF!</definedName>
    <definedName name="____KLP1">#REF!</definedName>
    <definedName name="____KLP3">#REF!</definedName>
    <definedName name="____KLP4">#REF!</definedName>
    <definedName name="____KLP5">#REF!</definedName>
    <definedName name="____KLP6">#REF!</definedName>
    <definedName name="___INF2">#REF!</definedName>
    <definedName name="___INF3">#REF!</definedName>
    <definedName name="___INF5">#REF!</definedName>
    <definedName name="___JAI1">#REF!</definedName>
    <definedName name="___KLP1">#REF!</definedName>
    <definedName name="___KLP3">#REF!</definedName>
    <definedName name="___KLP4">#REF!</definedName>
    <definedName name="___KLP5">#REF!</definedName>
    <definedName name="___KLP6">#REF!</definedName>
    <definedName name="__INF2">#REF!</definedName>
    <definedName name="__INF3">#REF!</definedName>
    <definedName name="__INF5">#REF!</definedName>
    <definedName name="__JAI1">#REF!</definedName>
    <definedName name="__KLP1">#REF!</definedName>
    <definedName name="__KLP3">#REF!</definedName>
    <definedName name="__KLP4">#REF!</definedName>
    <definedName name="__KLP5">#REF!</definedName>
    <definedName name="__KLP6">#REF!</definedName>
    <definedName name="_INF2">#REF!</definedName>
    <definedName name="_INF3">#REF!</definedName>
    <definedName name="_INF5">#REF!</definedName>
    <definedName name="_JAI1">#REF!</definedName>
    <definedName name="_KLP1">#REF!</definedName>
    <definedName name="_KLP3">#REF!</definedName>
    <definedName name="_KLP4">#REF!</definedName>
    <definedName name="_KLP5">#REF!</definedName>
    <definedName name="_KLP6">#REF!</definedName>
    <definedName name="_Order1" hidden="1">255</definedName>
    <definedName name="A_impresión_IM">#REF!</definedName>
    <definedName name="A1XA8">#REF!</definedName>
    <definedName name="aaa">#REF!</definedName>
    <definedName name="ANALI">#REF!</definedName>
    <definedName name="_xlnm.Print_Area" localSheetId="0">'M.O.'!$C$1:$K$23</definedName>
    <definedName name="asdfg">#REF!</definedName>
    <definedName name="aun">#REF!</definedName>
    <definedName name="base">[1]BaseDatos!$A$2:$F$505</definedName>
    <definedName name="_xlnm.Database">#REF!</definedName>
    <definedName name="d">#REF!</definedName>
    <definedName name="Database">#REF!</definedName>
    <definedName name="dergu">[2]otros!$A$6:$A$1235</definedName>
    <definedName name="DESM">#REF!</definedName>
    <definedName name="EQUI">#REF!</definedName>
    <definedName name="equipo">[3]Equipo!$A$7:$A$65536</definedName>
    <definedName name="EQUIPO_2">[4]Equipo!$A$7:$A$65536</definedName>
    <definedName name="_xlnm.Recorder">#REF!</definedName>
    <definedName name="HJKL">#REF!</definedName>
    <definedName name="hjklñ">[5]materiales!$A$7:$A$1317</definedName>
    <definedName name="inf">#REF!</definedName>
    <definedName name="item">#REF!</definedName>
    <definedName name="JS">#REF!</definedName>
    <definedName name="KLP">#REF!</definedName>
    <definedName name="KLPI">#REF!</definedName>
    <definedName name="LPO">#REF!</definedName>
    <definedName name="lpoi">#REF!</definedName>
    <definedName name="MANO">#REF!</definedName>
    <definedName name="MATE">#REF!</definedName>
    <definedName name="materiales">[3]materiales!$A$7:$A$1317</definedName>
    <definedName name="MATERIALES_2">[4]materiales!$A$7:$A$1317</definedName>
    <definedName name="otros">[3]otros!$A$6:$A$1235</definedName>
    <definedName name="OTROS_2">[4]otros!$A$6:$A$1235</definedName>
    <definedName name="Print_Area" localSheetId="0">'M.O.'!$B$2:$H$22</definedName>
    <definedName name="q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I23" i="1" s="1"/>
  <c r="G22" i="1"/>
  <c r="I22" i="1" s="1"/>
  <c r="G21" i="1"/>
  <c r="I21" i="1" s="1"/>
  <c r="G20" i="1"/>
  <c r="I20" i="1" s="1"/>
  <c r="G19" i="1"/>
  <c r="I19" i="1" s="1"/>
  <c r="G18" i="1"/>
  <c r="I18" i="1" s="1"/>
  <c r="G17" i="1"/>
  <c r="I17" i="1" s="1"/>
  <c r="G16" i="1"/>
  <c r="I16" i="1" s="1"/>
  <c r="G15" i="1"/>
  <c r="I15" i="1" s="1"/>
  <c r="G14" i="1"/>
  <c r="I14" i="1" s="1"/>
  <c r="G13" i="1"/>
  <c r="I13" i="1" s="1"/>
  <c r="G12" i="1"/>
  <c r="I12" i="1" s="1"/>
  <c r="G11" i="1"/>
  <c r="I11" i="1" s="1"/>
  <c r="G10" i="1"/>
  <c r="I10" i="1" s="1"/>
  <c r="G9" i="1"/>
  <c r="I9" i="1" s="1"/>
  <c r="G8" i="1"/>
  <c r="I8" i="1" s="1"/>
  <c r="G7" i="1"/>
  <c r="I7" i="1" s="1"/>
  <c r="G6" i="1"/>
  <c r="I6" i="1" s="1"/>
</calcChain>
</file>

<file path=xl/sharedStrings.xml><?xml version="1.0" encoding="utf-8"?>
<sst xmlns="http://schemas.openxmlformats.org/spreadsheetml/2006/main" count="29" uniqueCount="29">
  <si>
    <t>mano de obra</t>
  </si>
  <si>
    <t>con prestaciones /dia</t>
  </si>
  <si>
    <t xml:space="preserve">FACTOR MULTIPLICADOR POR INCREMENTO prestaciones </t>
  </si>
  <si>
    <t>CONSTRUDATA</t>
  </si>
  <si>
    <t>Mano de Obra/dia</t>
  </si>
  <si>
    <t xml:space="preserve">SALARIO MENSUALcon prestaciones </t>
  </si>
  <si>
    <t>Item</t>
  </si>
  <si>
    <t>Descripcion</t>
  </si>
  <si>
    <t>Cantidad</t>
  </si>
  <si>
    <t>Valor/dia</t>
  </si>
  <si>
    <t>Valor X</t>
  </si>
  <si>
    <t>INGENIERO</t>
  </si>
  <si>
    <t>OFICIAL</t>
  </si>
  <si>
    <t>AYUDANTE</t>
  </si>
  <si>
    <t>SOLDADOR 1A</t>
  </si>
  <si>
    <t>TECNICO GASES REFRIGERACION</t>
  </si>
  <si>
    <t>AYUDANTE GASES REFRIGERACION</t>
  </si>
  <si>
    <t>TECNICO ELECTRICISTA</t>
  </si>
  <si>
    <t>AYUDANTE ELECTRICO</t>
  </si>
  <si>
    <t>TÉCNICO MONTAJE EQUIPOS Y/U OTROS</t>
  </si>
  <si>
    <t>AYUDANTE MONTAJE EQUIPOS Y/U OTROS</t>
  </si>
  <si>
    <t>OFICIAL MONTAJE FACHADAS EN VIDRIO</t>
  </si>
  <si>
    <t>AYUDANTE  DE MONTAJE</t>
  </si>
  <si>
    <t>ORNAMENTADOR</t>
  </si>
  <si>
    <t>CARPINTERO</t>
  </si>
  <si>
    <t>AYUDANTE CARPINTERO</t>
  </si>
  <si>
    <t>TOPOGRAFO</t>
  </si>
  <si>
    <t xml:space="preserve">AUXILIAR DE TOPOGRAFIA </t>
  </si>
  <si>
    <t>CADENERO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</si>
</sst>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1" fillId="0" borderId="0" xfId="2"/>
    <xf numFmtId="0" fontId="1" fillId="0" borderId="0" xfId="2" applyAlignment="1">
      <alignment horizontal="left" indent="1"/>
    </xf>
    <xf numFmtId="0" fontId="0" fillId="3" borderId="0" xfId="2" applyFont="1" applyFill="1"/>
    <xf numFmtId="0" fontId="2" fillId="4" borderId="0" xfId="2" applyFont="1" applyFill="1"/>
    <xf numFmtId="0" fontId="1" fillId="0" borderId="0" xfId="2" applyAlignment="1">
      <alignment vertical="center"/>
    </xf>
    <xf numFmtId="0" fontId="0" fillId="0" borderId="7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/>
    </xf>
    <xf numFmtId="0" fontId="2" fillId="0" borderId="5" xfId="2" applyFont="1" applyBorder="1" applyAlignment="1">
      <alignment horizontal="left" indent="1"/>
    </xf>
    <xf numFmtId="0" fontId="2" fillId="0" borderId="5" xfId="2" applyFont="1" applyBorder="1" applyAlignment="1">
      <alignment horizontal="center"/>
    </xf>
    <xf numFmtId="0" fontId="2" fillId="0" borderId="6" xfId="2" applyFont="1" applyBorder="1" applyAlignment="1">
      <alignment horizontal="center"/>
    </xf>
    <xf numFmtId="0" fontId="1" fillId="0" borderId="8" xfId="2" applyBorder="1"/>
    <xf numFmtId="0" fontId="1" fillId="0" borderId="9" xfId="2" applyBorder="1" applyAlignment="1">
      <alignment horizontal="center"/>
    </xf>
    <xf numFmtId="0" fontId="0" fillId="0" borderId="10" xfId="2" applyFont="1" applyBorder="1" applyAlignment="1">
      <alignment horizontal="left" indent="1"/>
    </xf>
    <xf numFmtId="0" fontId="1" fillId="0" borderId="10" xfId="2" applyBorder="1" applyAlignment="1">
      <alignment horizontal="center"/>
    </xf>
    <xf numFmtId="44" fontId="1" fillId="0" borderId="10" xfId="1" applyBorder="1" applyAlignment="1">
      <alignment horizontal="center"/>
    </xf>
    <xf numFmtId="44" fontId="1" fillId="0" borderId="11" xfId="1" applyBorder="1" applyAlignment="1">
      <alignment horizontal="center"/>
    </xf>
    <xf numFmtId="44" fontId="1" fillId="0" borderId="12" xfId="1" applyBorder="1"/>
    <xf numFmtId="0" fontId="1" fillId="0" borderId="13" xfId="2" applyBorder="1" applyAlignment="1">
      <alignment horizontal="center"/>
    </xf>
    <xf numFmtId="0" fontId="1" fillId="0" borderId="14" xfId="2" applyBorder="1" applyAlignment="1">
      <alignment horizontal="center"/>
    </xf>
    <xf numFmtId="0" fontId="1" fillId="0" borderId="10" xfId="2" applyBorder="1" applyAlignment="1">
      <alignment horizontal="left" indent="1"/>
    </xf>
    <xf numFmtId="0" fontId="1" fillId="0" borderId="16" xfId="2" applyBorder="1" applyAlignment="1">
      <alignment horizontal="center"/>
    </xf>
    <xf numFmtId="0" fontId="1" fillId="0" borderId="17" xfId="2" applyBorder="1" applyAlignment="1">
      <alignment horizontal="left" indent="1"/>
    </xf>
    <xf numFmtId="0" fontId="1" fillId="0" borderId="17" xfId="2" applyBorder="1" applyAlignment="1">
      <alignment horizontal="center"/>
    </xf>
    <xf numFmtId="44" fontId="1" fillId="0" borderId="17" xfId="1" applyBorder="1" applyAlignment="1">
      <alignment horizontal="center"/>
    </xf>
    <xf numFmtId="44" fontId="1" fillId="0" borderId="18" xfId="1" applyBorder="1"/>
    <xf numFmtId="0" fontId="0" fillId="0" borderId="17" xfId="2" applyFont="1" applyBorder="1" applyAlignment="1">
      <alignment horizontal="left" indent="1"/>
    </xf>
    <xf numFmtId="44" fontId="1" fillId="0" borderId="21" xfId="1" applyBorder="1" applyAlignment="1">
      <alignment horizontal="center"/>
    </xf>
    <xf numFmtId="44" fontId="1" fillId="5" borderId="21" xfId="1" applyFill="1" applyBorder="1" applyAlignment="1">
      <alignment horizontal="center"/>
    </xf>
    <xf numFmtId="44" fontId="1" fillId="0" borderId="17" xfId="1" applyBorder="1"/>
    <xf numFmtId="44" fontId="1" fillId="0" borderId="21" xfId="1" applyBorder="1"/>
    <xf numFmtId="0" fontId="1" fillId="0" borderId="22" xfId="2" applyBorder="1" applyAlignment="1">
      <alignment horizontal="center"/>
    </xf>
    <xf numFmtId="0" fontId="0" fillId="0" borderId="23" xfId="2" applyFont="1" applyBorder="1" applyAlignment="1">
      <alignment horizontal="left" indent="1"/>
    </xf>
    <xf numFmtId="0" fontId="1" fillId="0" borderId="23" xfId="2" applyBorder="1" applyAlignment="1">
      <alignment horizontal="center"/>
    </xf>
    <xf numFmtId="44" fontId="1" fillId="0" borderId="23" xfId="1" applyBorder="1"/>
    <xf numFmtId="44" fontId="1" fillId="0" borderId="24" xfId="1" applyBorder="1"/>
    <xf numFmtId="44" fontId="1" fillId="0" borderId="25" xfId="1" applyBorder="1"/>
    <xf numFmtId="0" fontId="1" fillId="0" borderId="19" xfId="2" applyBorder="1"/>
    <xf numFmtId="0" fontId="1" fillId="0" borderId="20" xfId="2" applyBorder="1"/>
    <xf numFmtId="0" fontId="1" fillId="0" borderId="26" xfId="2" applyBorder="1"/>
    <xf numFmtId="0" fontId="1" fillId="0" borderId="27" xfId="2" applyBorder="1"/>
    <xf numFmtId="0" fontId="1" fillId="0" borderId="13" xfId="2" applyBorder="1"/>
    <xf numFmtId="0" fontId="1" fillId="0" borderId="15" xfId="2" applyBorder="1"/>
    <xf numFmtId="0" fontId="3" fillId="2" borderId="1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2" applyFont="1" applyAlignment="1">
      <alignment horizontal="right"/>
    </xf>
    <xf numFmtId="0" fontId="0" fillId="0" borderId="1" xfId="2" applyFont="1" applyBorder="1" applyAlignment="1">
      <alignment horizontal="center"/>
    </xf>
    <xf numFmtId="0" fontId="1" fillId="0" borderId="3" xfId="2" applyBorder="1" applyAlignment="1">
      <alignment horizontal="center"/>
    </xf>
    <xf numFmtId="0" fontId="2" fillId="0" borderId="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1" fillId="0" borderId="1" xfId="2" applyBorder="1" applyAlignment="1">
      <alignment horizontal="center"/>
    </xf>
    <xf numFmtId="0" fontId="1" fillId="0" borderId="2" xfId="2" applyBorder="1" applyAlignment="1">
      <alignment horizontal="center"/>
    </xf>
  </cellXfs>
  <cellStyles count="3">
    <cellStyle name="Moneda" xfId="1" builtinId="4"/>
    <cellStyle name="Normal" xfId="0" builtinId="0"/>
    <cellStyle name="Normal 2" xfId="2" xr:uid="{98ABAF60-8DD8-4023-BF4D-3137722836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ENIERIA\Users\ALIRIO\Acued%20y%20Alcant\Presup%20Colector%20Aux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Home\Library\Containers\com.apple.mail\Data\Library\Mail%20Downloads\4056BB86-5C5A-4AD9-8B24-431FD0C94135\apus%20febrero%202012%20BOYACA%20(1)\apus%20febrero%20de%202012%20-%20GRUPO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ENIERIA\Users\Users\mangaritab\Downloads\PRESUPUESTOS%2017%20-%2010%20-%202013\21-PRESUPUESTO%20EL%20CARMEN%20-%20YARIMA\Gepa\PRECIOS%20INVIAS\apus%20febrero%20de%202012%20-%20GRUPO%20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GENIERIA\Users\Users\usuario\Downloads\apus%20febrero%202012%20BOYACA%20(1)\apus%20febrero%20de%202012%20-%20GRUPO%2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c\Users\mangaritab\Downloads\PRESUPUESTOS%2017%20-%2010%20-%202013\21-PRESUPUESTO%20EL%20CARMEN%20-%20YARIMA\Gepa\PRECIOS%20INVIAS\apus%20febrero%20de%202012%20-%20GRUPO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Datos"/>
      <sheetName val="Presupuesto"/>
      <sheetName val="Hoja2"/>
      <sheetName val="Hoja3"/>
      <sheetName val="Hoja4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Hoja17"/>
      <sheetName val="Hoja18"/>
      <sheetName val="Hoja19"/>
      <sheetName val="Hoja20"/>
      <sheetName val="Hoja21"/>
      <sheetName val="Hoja22"/>
      <sheetName val="Hoja23"/>
      <sheetName val="BaseUnitarios"/>
      <sheetName val="Insumos"/>
    </sheetNames>
    <sheetDataSet>
      <sheetData sheetId="0" refreshError="1">
        <row r="2">
          <cell r="A2">
            <v>101</v>
          </cell>
          <cell r="B2" t="str">
            <v>Teodolito</v>
          </cell>
          <cell r="C2">
            <v>2250</v>
          </cell>
          <cell r="D2" t="str">
            <v>Alquiler / hora</v>
          </cell>
        </row>
        <row r="3">
          <cell r="A3">
            <v>102</v>
          </cell>
          <cell r="B3" t="str">
            <v>Nivel de precisión</v>
          </cell>
          <cell r="C3">
            <v>1562.5</v>
          </cell>
          <cell r="D3" t="str">
            <v>Alquiler / hora</v>
          </cell>
        </row>
        <row r="4">
          <cell r="A4">
            <v>103</v>
          </cell>
          <cell r="B4" t="str">
            <v>Equipo menor</v>
          </cell>
          <cell r="C4">
            <v>625</v>
          </cell>
          <cell r="D4" t="str">
            <v>Alquiler / hora</v>
          </cell>
        </row>
        <row r="5">
          <cell r="A5">
            <v>104</v>
          </cell>
          <cell r="B5" t="str">
            <v>Herramientas</v>
          </cell>
          <cell r="C5" t="str">
            <v>Variable</v>
          </cell>
          <cell r="D5" t="str">
            <v>Glb.</v>
          </cell>
        </row>
        <row r="6">
          <cell r="A6">
            <v>105</v>
          </cell>
          <cell r="B6" t="str">
            <v>Mezcladora</v>
          </cell>
          <cell r="C6">
            <v>9000</v>
          </cell>
          <cell r="D6" t="str">
            <v>Alquiler / hora</v>
          </cell>
        </row>
        <row r="7">
          <cell r="A7">
            <v>106</v>
          </cell>
          <cell r="B7" t="str">
            <v>Vibrador</v>
          </cell>
          <cell r="C7">
            <v>5000</v>
          </cell>
          <cell r="D7" t="str">
            <v>Alquiler / hora</v>
          </cell>
        </row>
        <row r="8">
          <cell r="A8">
            <v>107</v>
          </cell>
          <cell r="B8" t="str">
            <v>Formaleta</v>
          </cell>
          <cell r="C8">
            <v>5000</v>
          </cell>
          <cell r="D8" t="str">
            <v>m²</v>
          </cell>
        </row>
        <row r="9">
          <cell r="A9">
            <v>108</v>
          </cell>
          <cell r="B9" t="str">
            <v>Andamio</v>
          </cell>
          <cell r="C9">
            <v>50</v>
          </cell>
          <cell r="D9" t="str">
            <v>Alquiler / hora</v>
          </cell>
        </row>
        <row r="10">
          <cell r="A10">
            <v>109</v>
          </cell>
          <cell r="B10" t="str">
            <v>Mira</v>
          </cell>
          <cell r="C10">
            <v>437.5</v>
          </cell>
          <cell r="D10" t="str">
            <v>Alquiler / hora</v>
          </cell>
        </row>
        <row r="11">
          <cell r="A11">
            <v>110</v>
          </cell>
          <cell r="B11" t="str">
            <v>Compresor</v>
          </cell>
          <cell r="C11">
            <v>35000</v>
          </cell>
          <cell r="D11" t="str">
            <v>Alquiler / hora</v>
          </cell>
        </row>
        <row r="12">
          <cell r="A12">
            <v>111</v>
          </cell>
          <cell r="B12" t="str">
            <v>Compactador mecánico (rana)</v>
          </cell>
          <cell r="C12">
            <v>4000</v>
          </cell>
          <cell r="D12" t="str">
            <v>Alquiler / hora</v>
          </cell>
        </row>
        <row r="13">
          <cell r="A13">
            <v>112</v>
          </cell>
          <cell r="C13">
            <v>0</v>
          </cell>
        </row>
        <row r="14">
          <cell r="A14">
            <v>113</v>
          </cell>
          <cell r="C14">
            <v>0</v>
          </cell>
        </row>
        <row r="15">
          <cell r="A15">
            <v>114</v>
          </cell>
          <cell r="C15">
            <v>0</v>
          </cell>
        </row>
        <row r="16">
          <cell r="A16">
            <v>115</v>
          </cell>
          <cell r="C16">
            <v>0</v>
          </cell>
        </row>
        <row r="17">
          <cell r="A17">
            <v>116</v>
          </cell>
          <cell r="C17">
            <v>0</v>
          </cell>
        </row>
        <row r="18">
          <cell r="A18">
            <v>117</v>
          </cell>
          <cell r="C18">
            <v>0</v>
          </cell>
        </row>
        <row r="19">
          <cell r="A19">
            <v>118</v>
          </cell>
          <cell r="C19">
            <v>0</v>
          </cell>
        </row>
        <row r="20">
          <cell r="A20">
            <v>119</v>
          </cell>
          <cell r="C20">
            <v>0</v>
          </cell>
        </row>
        <row r="21">
          <cell r="A21">
            <v>120</v>
          </cell>
          <cell r="C21">
            <v>0</v>
          </cell>
        </row>
        <row r="22">
          <cell r="A22">
            <v>121</v>
          </cell>
          <cell r="C22">
            <v>0</v>
          </cell>
        </row>
        <row r="23">
          <cell r="A23">
            <v>122</v>
          </cell>
          <cell r="C23">
            <v>0</v>
          </cell>
        </row>
        <row r="24">
          <cell r="A24">
            <v>123</v>
          </cell>
          <cell r="C24">
            <v>0</v>
          </cell>
        </row>
        <row r="25">
          <cell r="A25">
            <v>124</v>
          </cell>
          <cell r="C25">
            <v>0</v>
          </cell>
        </row>
        <row r="26">
          <cell r="A26">
            <v>125</v>
          </cell>
          <cell r="C26">
            <v>0</v>
          </cell>
        </row>
        <row r="27">
          <cell r="A27">
            <v>126</v>
          </cell>
          <cell r="C27">
            <v>0</v>
          </cell>
        </row>
        <row r="28">
          <cell r="A28">
            <v>127</v>
          </cell>
          <cell r="C28">
            <v>0</v>
          </cell>
        </row>
        <row r="29">
          <cell r="A29">
            <v>128</v>
          </cell>
          <cell r="C29">
            <v>0</v>
          </cell>
        </row>
        <row r="30">
          <cell r="A30">
            <v>129</v>
          </cell>
          <cell r="C30">
            <v>0</v>
          </cell>
        </row>
        <row r="31">
          <cell r="A31">
            <v>130</v>
          </cell>
          <cell r="C31">
            <v>0</v>
          </cell>
        </row>
        <row r="32">
          <cell r="A32">
            <v>131</v>
          </cell>
          <cell r="C32">
            <v>0</v>
          </cell>
        </row>
        <row r="33">
          <cell r="A33">
            <v>132</v>
          </cell>
          <cell r="C33">
            <v>0</v>
          </cell>
        </row>
        <row r="34">
          <cell r="A34">
            <v>133</v>
          </cell>
          <cell r="C34">
            <v>0</v>
          </cell>
        </row>
        <row r="35">
          <cell r="A35">
            <v>134</v>
          </cell>
          <cell r="C35">
            <v>0</v>
          </cell>
        </row>
        <row r="36">
          <cell r="A36">
            <v>135</v>
          </cell>
          <cell r="C36">
            <v>0</v>
          </cell>
        </row>
        <row r="37">
          <cell r="A37">
            <v>136</v>
          </cell>
          <cell r="C37">
            <v>0</v>
          </cell>
        </row>
        <row r="38">
          <cell r="A38">
            <v>137</v>
          </cell>
          <cell r="C38">
            <v>0</v>
          </cell>
        </row>
        <row r="39">
          <cell r="A39">
            <v>138</v>
          </cell>
          <cell r="C39">
            <v>0</v>
          </cell>
        </row>
        <row r="40">
          <cell r="A40">
            <v>139</v>
          </cell>
          <cell r="C40">
            <v>0</v>
          </cell>
        </row>
        <row r="41">
          <cell r="A41">
            <v>140</v>
          </cell>
          <cell r="C41">
            <v>0</v>
          </cell>
        </row>
        <row r="42">
          <cell r="A42">
            <v>141</v>
          </cell>
          <cell r="C42">
            <v>0</v>
          </cell>
        </row>
        <row r="43">
          <cell r="A43">
            <v>142</v>
          </cell>
          <cell r="C43">
            <v>0</v>
          </cell>
        </row>
        <row r="44">
          <cell r="A44">
            <v>143</v>
          </cell>
          <cell r="C44">
            <v>0</v>
          </cell>
        </row>
        <row r="45">
          <cell r="A45">
            <v>144</v>
          </cell>
          <cell r="C45">
            <v>0</v>
          </cell>
        </row>
        <row r="46">
          <cell r="A46">
            <v>145</v>
          </cell>
          <cell r="C46">
            <v>0</v>
          </cell>
        </row>
        <row r="47">
          <cell r="A47">
            <v>146</v>
          </cell>
          <cell r="C47">
            <v>0</v>
          </cell>
        </row>
        <row r="48">
          <cell r="A48">
            <v>147</v>
          </cell>
          <cell r="C48">
            <v>0</v>
          </cell>
        </row>
        <row r="49">
          <cell r="A49">
            <v>148</v>
          </cell>
          <cell r="C49">
            <v>0</v>
          </cell>
        </row>
        <row r="50">
          <cell r="A50">
            <v>149</v>
          </cell>
          <cell r="C50">
            <v>0</v>
          </cell>
        </row>
        <row r="51">
          <cell r="A51">
            <v>150</v>
          </cell>
          <cell r="C51">
            <v>0</v>
          </cell>
        </row>
        <row r="52">
          <cell r="A52">
            <v>151</v>
          </cell>
          <cell r="C52">
            <v>0</v>
          </cell>
        </row>
        <row r="53">
          <cell r="A53">
            <v>152</v>
          </cell>
          <cell r="C53">
            <v>0</v>
          </cell>
        </row>
        <row r="54">
          <cell r="A54">
            <v>153</v>
          </cell>
          <cell r="C54">
            <v>0</v>
          </cell>
        </row>
        <row r="55">
          <cell r="A55">
            <v>154</v>
          </cell>
          <cell r="C55">
            <v>0</v>
          </cell>
        </row>
        <row r="56">
          <cell r="A56">
            <v>155</v>
          </cell>
          <cell r="C56">
            <v>0</v>
          </cell>
        </row>
        <row r="57">
          <cell r="A57">
            <v>156</v>
          </cell>
          <cell r="C57">
            <v>0</v>
          </cell>
        </row>
        <row r="58">
          <cell r="A58">
            <v>157</v>
          </cell>
          <cell r="C58">
            <v>0</v>
          </cell>
        </row>
        <row r="59">
          <cell r="A59">
            <v>158</v>
          </cell>
          <cell r="C59">
            <v>0</v>
          </cell>
        </row>
        <row r="60">
          <cell r="A60">
            <v>159</v>
          </cell>
          <cell r="C60">
            <v>0</v>
          </cell>
        </row>
        <row r="61">
          <cell r="A61">
            <v>160</v>
          </cell>
          <cell r="C61">
            <v>0</v>
          </cell>
        </row>
        <row r="62">
          <cell r="A62">
            <v>161</v>
          </cell>
          <cell r="C62">
            <v>0</v>
          </cell>
        </row>
        <row r="63">
          <cell r="A63">
            <v>162</v>
          </cell>
          <cell r="C63">
            <v>0</v>
          </cell>
        </row>
        <row r="64">
          <cell r="A64">
            <v>163</v>
          </cell>
          <cell r="C64">
            <v>0</v>
          </cell>
        </row>
        <row r="65">
          <cell r="A65">
            <v>164</v>
          </cell>
          <cell r="C65">
            <v>0</v>
          </cell>
        </row>
        <row r="66">
          <cell r="A66">
            <v>165</v>
          </cell>
          <cell r="C66">
            <v>0</v>
          </cell>
        </row>
        <row r="67">
          <cell r="A67">
            <v>166</v>
          </cell>
          <cell r="C67">
            <v>0</v>
          </cell>
        </row>
        <row r="68">
          <cell r="A68">
            <v>167</v>
          </cell>
          <cell r="C68">
            <v>0</v>
          </cell>
        </row>
        <row r="69">
          <cell r="A69">
            <v>168</v>
          </cell>
          <cell r="C69">
            <v>0</v>
          </cell>
        </row>
        <row r="70">
          <cell r="A70">
            <v>169</v>
          </cell>
          <cell r="C70">
            <v>0</v>
          </cell>
        </row>
        <row r="71">
          <cell r="A71">
            <v>170</v>
          </cell>
          <cell r="C71">
            <v>0</v>
          </cell>
        </row>
        <row r="72">
          <cell r="A72">
            <v>171</v>
          </cell>
          <cell r="C72">
            <v>0</v>
          </cell>
        </row>
        <row r="73">
          <cell r="A73">
            <v>172</v>
          </cell>
          <cell r="C73">
            <v>0</v>
          </cell>
        </row>
        <row r="74">
          <cell r="A74">
            <v>173</v>
          </cell>
          <cell r="C74">
            <v>0</v>
          </cell>
        </row>
        <row r="75">
          <cell r="A75">
            <v>174</v>
          </cell>
          <cell r="C75">
            <v>0</v>
          </cell>
        </row>
        <row r="76">
          <cell r="A76">
            <v>175</v>
          </cell>
          <cell r="C76">
            <v>0</v>
          </cell>
        </row>
        <row r="77">
          <cell r="A77">
            <v>176</v>
          </cell>
          <cell r="C77">
            <v>0</v>
          </cell>
        </row>
        <row r="78">
          <cell r="A78">
            <v>177</v>
          </cell>
          <cell r="C78">
            <v>0</v>
          </cell>
        </row>
        <row r="79">
          <cell r="A79">
            <v>178</v>
          </cell>
          <cell r="C79">
            <v>0</v>
          </cell>
        </row>
        <row r="80">
          <cell r="A80">
            <v>179</v>
          </cell>
          <cell r="C80">
            <v>0</v>
          </cell>
        </row>
        <row r="81">
          <cell r="A81">
            <v>180</v>
          </cell>
          <cell r="C81">
            <v>0</v>
          </cell>
        </row>
        <row r="82">
          <cell r="A82">
            <v>181</v>
          </cell>
          <cell r="C82">
            <v>0</v>
          </cell>
        </row>
        <row r="83">
          <cell r="A83">
            <v>182</v>
          </cell>
          <cell r="C83">
            <v>0</v>
          </cell>
        </row>
        <row r="84">
          <cell r="A84">
            <v>183</v>
          </cell>
          <cell r="C84">
            <v>0</v>
          </cell>
        </row>
        <row r="85">
          <cell r="A85">
            <v>184</v>
          </cell>
          <cell r="C85">
            <v>0</v>
          </cell>
        </row>
        <row r="86">
          <cell r="A86">
            <v>185</v>
          </cell>
          <cell r="C86">
            <v>0</v>
          </cell>
        </row>
        <row r="87">
          <cell r="A87">
            <v>186</v>
          </cell>
          <cell r="C87">
            <v>0</v>
          </cell>
        </row>
        <row r="88">
          <cell r="A88">
            <v>187</v>
          </cell>
          <cell r="C88">
            <v>0</v>
          </cell>
        </row>
        <row r="89">
          <cell r="A89">
            <v>188</v>
          </cell>
          <cell r="C89">
            <v>0</v>
          </cell>
        </row>
        <row r="90">
          <cell r="A90">
            <v>189</v>
          </cell>
          <cell r="C90">
            <v>0</v>
          </cell>
        </row>
        <row r="91">
          <cell r="A91">
            <v>190</v>
          </cell>
          <cell r="B91" t="str">
            <v>Dinamita</v>
          </cell>
          <cell r="C91">
            <v>3500</v>
          </cell>
          <cell r="D91" t="str">
            <v>Taco</v>
          </cell>
        </row>
        <row r="92">
          <cell r="A92">
            <v>191</v>
          </cell>
          <cell r="B92" t="str">
            <v>Estopín</v>
          </cell>
          <cell r="C92">
            <v>1000</v>
          </cell>
          <cell r="D92" t="str">
            <v>Und.</v>
          </cell>
        </row>
        <row r="93">
          <cell r="A93">
            <v>192</v>
          </cell>
          <cell r="B93" t="str">
            <v>Mecha lenta</v>
          </cell>
          <cell r="C93">
            <v>2000</v>
          </cell>
          <cell r="D93" t="str">
            <v>ml.</v>
          </cell>
        </row>
        <row r="94">
          <cell r="A94">
            <v>193</v>
          </cell>
          <cell r="C94">
            <v>0</v>
          </cell>
        </row>
        <row r="95">
          <cell r="A95">
            <v>194</v>
          </cell>
          <cell r="C95">
            <v>0</v>
          </cell>
        </row>
        <row r="96">
          <cell r="A96">
            <v>195</v>
          </cell>
          <cell r="C96">
            <v>0</v>
          </cell>
        </row>
        <row r="97">
          <cell r="A97">
            <v>196</v>
          </cell>
          <cell r="C97">
            <v>0</v>
          </cell>
        </row>
        <row r="98">
          <cell r="A98">
            <v>197</v>
          </cell>
          <cell r="C98">
            <v>0</v>
          </cell>
        </row>
        <row r="99">
          <cell r="A99">
            <v>198</v>
          </cell>
          <cell r="C99">
            <v>0</v>
          </cell>
        </row>
        <row r="100">
          <cell r="A100">
            <v>199</v>
          </cell>
          <cell r="B100" t="str">
            <v>Madera para estacas</v>
          </cell>
          <cell r="C100">
            <v>50</v>
          </cell>
          <cell r="D100" t="str">
            <v>Und.</v>
          </cell>
        </row>
        <row r="101">
          <cell r="A101">
            <v>200</v>
          </cell>
          <cell r="B101" t="str">
            <v>Estacas para topografía</v>
          </cell>
          <cell r="C101">
            <v>100</v>
          </cell>
          <cell r="D101" t="str">
            <v>Und.</v>
          </cell>
          <cell r="E101">
            <v>0.2</v>
          </cell>
        </row>
        <row r="102">
          <cell r="A102">
            <v>201</v>
          </cell>
          <cell r="B102" t="str">
            <v>Pintura</v>
          </cell>
          <cell r="C102">
            <v>25000</v>
          </cell>
          <cell r="D102" t="str">
            <v>Galón</v>
          </cell>
          <cell r="E102">
            <v>50</v>
          </cell>
        </row>
        <row r="103">
          <cell r="A103">
            <v>202</v>
          </cell>
          <cell r="B103" t="str">
            <v>Cemento gris</v>
          </cell>
          <cell r="C103">
            <v>320</v>
          </cell>
          <cell r="D103" t="str">
            <v>kg.</v>
          </cell>
          <cell r="E103">
            <v>2.56</v>
          </cell>
        </row>
        <row r="104">
          <cell r="A104">
            <v>203</v>
          </cell>
          <cell r="B104" t="str">
            <v>Arena</v>
          </cell>
          <cell r="C104">
            <v>25000</v>
          </cell>
          <cell r="D104" t="str">
            <v>m³</v>
          </cell>
          <cell r="E104">
            <v>500</v>
          </cell>
        </row>
        <row r="105">
          <cell r="A105">
            <v>204</v>
          </cell>
          <cell r="B105" t="str">
            <v>Triturado</v>
          </cell>
          <cell r="C105">
            <v>32000</v>
          </cell>
          <cell r="D105" t="str">
            <v>m³</v>
          </cell>
          <cell r="E105">
            <v>640</v>
          </cell>
        </row>
        <row r="106">
          <cell r="A106">
            <v>205</v>
          </cell>
          <cell r="B106" t="str">
            <v>Agua</v>
          </cell>
          <cell r="C106">
            <v>10</v>
          </cell>
          <cell r="D106" t="str">
            <v>lts</v>
          </cell>
          <cell r="E106">
            <v>0.02</v>
          </cell>
        </row>
        <row r="107">
          <cell r="A107">
            <v>206</v>
          </cell>
          <cell r="B107" t="str">
            <v>Piedra rajón</v>
          </cell>
          <cell r="C107">
            <v>8000</v>
          </cell>
          <cell r="D107" t="str">
            <v>m³</v>
          </cell>
          <cell r="E107">
            <v>160</v>
          </cell>
        </row>
        <row r="108">
          <cell r="A108">
            <v>207</v>
          </cell>
          <cell r="B108" t="str">
            <v>Puntillas</v>
          </cell>
          <cell r="C108">
            <v>1900</v>
          </cell>
          <cell r="D108" t="str">
            <v>kg.</v>
          </cell>
          <cell r="E108">
            <v>3.8000000000000003</v>
          </cell>
        </row>
        <row r="109">
          <cell r="A109">
            <v>208</v>
          </cell>
          <cell r="B109" t="str">
            <v>Puntillón para fijación</v>
          </cell>
          <cell r="C109">
            <v>50</v>
          </cell>
          <cell r="D109" t="str">
            <v>Und.</v>
          </cell>
          <cell r="E109">
            <v>0.1</v>
          </cell>
        </row>
        <row r="110">
          <cell r="A110">
            <v>209</v>
          </cell>
          <cell r="B110" t="str">
            <v>Malla para friso sin vena 0.53 x 2.4 m</v>
          </cell>
          <cell r="C110">
            <v>1176</v>
          </cell>
          <cell r="D110" t="str">
            <v>Und.</v>
          </cell>
          <cell r="E110">
            <v>2.3519999999999999</v>
          </cell>
        </row>
        <row r="111">
          <cell r="A111">
            <v>210</v>
          </cell>
          <cell r="B111" t="str">
            <v>Acero fy=60000PSI</v>
          </cell>
          <cell r="C111">
            <v>990</v>
          </cell>
          <cell r="D111" t="str">
            <v>kg</v>
          </cell>
          <cell r="E111">
            <v>1.98</v>
          </cell>
        </row>
        <row r="112">
          <cell r="A112">
            <v>211</v>
          </cell>
          <cell r="B112" t="str">
            <v>Acero fy=37000PSI</v>
          </cell>
          <cell r="C112">
            <v>990</v>
          </cell>
          <cell r="D112" t="str">
            <v>kg</v>
          </cell>
          <cell r="E112">
            <v>1.98</v>
          </cell>
        </row>
        <row r="113">
          <cell r="A113">
            <v>212</v>
          </cell>
          <cell r="C113">
            <v>0</v>
          </cell>
          <cell r="E113">
            <v>0</v>
          </cell>
        </row>
        <row r="114">
          <cell r="A114">
            <v>213</v>
          </cell>
          <cell r="C114">
            <v>0</v>
          </cell>
          <cell r="E114">
            <v>0</v>
          </cell>
        </row>
        <row r="115">
          <cell r="A115">
            <v>214</v>
          </cell>
          <cell r="C115">
            <v>0</v>
          </cell>
          <cell r="E115">
            <v>0</v>
          </cell>
        </row>
        <row r="116">
          <cell r="A116">
            <v>215</v>
          </cell>
          <cell r="B116" t="str">
            <v>Alambre</v>
          </cell>
          <cell r="C116">
            <v>1250</v>
          </cell>
          <cell r="D116" t="str">
            <v>kg</v>
          </cell>
          <cell r="E116">
            <v>1.25</v>
          </cell>
        </row>
        <row r="117">
          <cell r="A117">
            <v>216</v>
          </cell>
          <cell r="C117">
            <v>0</v>
          </cell>
          <cell r="E117">
            <v>0</v>
          </cell>
        </row>
        <row r="118">
          <cell r="A118">
            <v>217</v>
          </cell>
          <cell r="B118" t="str">
            <v>Tabla para entibar</v>
          </cell>
          <cell r="C118">
            <v>3000</v>
          </cell>
          <cell r="D118" t="str">
            <v>Und.</v>
          </cell>
          <cell r="E118">
            <v>3</v>
          </cell>
        </row>
        <row r="119">
          <cell r="A119">
            <v>218</v>
          </cell>
          <cell r="B119" t="str">
            <v>Cerco de 4 x 4 x 240</v>
          </cell>
          <cell r="C119">
            <v>4000</v>
          </cell>
          <cell r="D119" t="str">
            <v>Und.</v>
          </cell>
          <cell r="E119">
            <v>4</v>
          </cell>
        </row>
        <row r="120">
          <cell r="A120">
            <v>219</v>
          </cell>
          <cell r="C120">
            <v>0</v>
          </cell>
          <cell r="E120">
            <v>0</v>
          </cell>
        </row>
        <row r="121">
          <cell r="A121">
            <v>220</v>
          </cell>
          <cell r="B121" t="str">
            <v>Cimbra sencilla</v>
          </cell>
          <cell r="C121">
            <v>46880</v>
          </cell>
          <cell r="D121" t="str">
            <v>ml.</v>
          </cell>
          <cell r="E121">
            <v>140.64000000000001</v>
          </cell>
        </row>
        <row r="122">
          <cell r="A122">
            <v>221</v>
          </cell>
          <cell r="B122" t="str">
            <v>Cimbra semidoble</v>
          </cell>
          <cell r="C122">
            <v>54690</v>
          </cell>
          <cell r="D122" t="str">
            <v>ml.</v>
          </cell>
          <cell r="E122">
            <v>164.07</v>
          </cell>
        </row>
        <row r="123">
          <cell r="A123">
            <v>222</v>
          </cell>
          <cell r="B123" t="str">
            <v>Cimbra doble</v>
          </cell>
          <cell r="C123">
            <v>62500</v>
          </cell>
          <cell r="D123" t="str">
            <v>ml.</v>
          </cell>
          <cell r="E123">
            <v>187.5</v>
          </cell>
        </row>
        <row r="124">
          <cell r="A124">
            <v>223</v>
          </cell>
          <cell r="C124">
            <v>0</v>
          </cell>
          <cell r="E124">
            <v>0</v>
          </cell>
        </row>
        <row r="125">
          <cell r="A125">
            <v>224</v>
          </cell>
          <cell r="C125">
            <v>0</v>
          </cell>
          <cell r="E125">
            <v>0</v>
          </cell>
        </row>
        <row r="126">
          <cell r="A126">
            <v>225</v>
          </cell>
          <cell r="B126" t="str">
            <v>Icopor</v>
          </cell>
          <cell r="C126">
            <v>4690</v>
          </cell>
          <cell r="D126" t="str">
            <v>m²</v>
          </cell>
          <cell r="E126">
            <v>4.6900000000000004</v>
          </cell>
        </row>
        <row r="127">
          <cell r="A127">
            <v>226</v>
          </cell>
          <cell r="C127">
            <v>0</v>
          </cell>
          <cell r="E127">
            <v>0</v>
          </cell>
        </row>
        <row r="128">
          <cell r="A128">
            <v>227</v>
          </cell>
          <cell r="C128">
            <v>0</v>
          </cell>
          <cell r="E128">
            <v>0</v>
          </cell>
        </row>
        <row r="129">
          <cell r="A129">
            <v>228</v>
          </cell>
          <cell r="C129">
            <v>0</v>
          </cell>
          <cell r="E129">
            <v>0</v>
          </cell>
        </row>
        <row r="130">
          <cell r="A130">
            <v>229</v>
          </cell>
          <cell r="C130">
            <v>0</v>
          </cell>
          <cell r="E130">
            <v>0</v>
          </cell>
        </row>
        <row r="131">
          <cell r="A131">
            <v>230</v>
          </cell>
          <cell r="B131" t="str">
            <v>Caseta (campamento, bodega etc.)</v>
          </cell>
          <cell r="C131">
            <v>2000000</v>
          </cell>
          <cell r="D131" t="str">
            <v>Glb.</v>
          </cell>
          <cell r="E131">
            <v>4000</v>
          </cell>
        </row>
        <row r="132">
          <cell r="A132">
            <v>231</v>
          </cell>
          <cell r="B132" t="str">
            <v>Caseta oficinas</v>
          </cell>
          <cell r="C132">
            <v>1500000</v>
          </cell>
          <cell r="D132" t="str">
            <v>Glb.</v>
          </cell>
          <cell r="E132">
            <v>3000</v>
          </cell>
        </row>
        <row r="133">
          <cell r="A133">
            <v>232</v>
          </cell>
          <cell r="B133" t="str">
            <v>Valla de aviso de la obra</v>
          </cell>
          <cell r="C133">
            <v>400000</v>
          </cell>
          <cell r="D133" t="str">
            <v>Glb.</v>
          </cell>
          <cell r="E133">
            <v>800</v>
          </cell>
        </row>
        <row r="134">
          <cell r="A134">
            <v>233</v>
          </cell>
          <cell r="C134">
            <v>0</v>
          </cell>
          <cell r="E134">
            <v>0</v>
          </cell>
        </row>
        <row r="135">
          <cell r="A135">
            <v>234</v>
          </cell>
          <cell r="C135">
            <v>0</v>
          </cell>
          <cell r="E135">
            <v>0</v>
          </cell>
        </row>
        <row r="136">
          <cell r="A136">
            <v>235</v>
          </cell>
          <cell r="C136">
            <v>0</v>
          </cell>
          <cell r="E136">
            <v>0</v>
          </cell>
        </row>
        <row r="137">
          <cell r="A137">
            <v>236</v>
          </cell>
          <cell r="C137">
            <v>0</v>
          </cell>
          <cell r="E137">
            <v>0</v>
          </cell>
        </row>
        <row r="138">
          <cell r="A138">
            <v>237</v>
          </cell>
          <cell r="C138">
            <v>0</v>
          </cell>
          <cell r="E138">
            <v>0</v>
          </cell>
        </row>
        <row r="139">
          <cell r="A139">
            <v>238</v>
          </cell>
          <cell r="C139">
            <v>0</v>
          </cell>
          <cell r="E139">
            <v>0</v>
          </cell>
        </row>
        <row r="140">
          <cell r="A140">
            <v>239</v>
          </cell>
          <cell r="C140">
            <v>0</v>
          </cell>
          <cell r="E140">
            <v>0</v>
          </cell>
        </row>
        <row r="141">
          <cell r="A141">
            <v>240</v>
          </cell>
          <cell r="B141" t="str">
            <v>Tubería sanitaria PVC 2"</v>
          </cell>
          <cell r="C141">
            <v>3653</v>
          </cell>
          <cell r="D141" t="str">
            <v>ml.</v>
          </cell>
          <cell r="E141">
            <v>3.653</v>
          </cell>
        </row>
        <row r="142">
          <cell r="A142">
            <v>241</v>
          </cell>
          <cell r="B142" t="str">
            <v>Tubería sanitaria PVC 3"</v>
          </cell>
          <cell r="C142">
            <v>5274</v>
          </cell>
          <cell r="D142" t="str">
            <v>ml.</v>
          </cell>
          <cell r="E142">
            <v>5.274</v>
          </cell>
        </row>
        <row r="143">
          <cell r="A143">
            <v>242</v>
          </cell>
          <cell r="B143" t="str">
            <v>Tubería sanitaria PVC 4"</v>
          </cell>
          <cell r="C143">
            <v>7608</v>
          </cell>
          <cell r="D143" t="str">
            <v>ml.</v>
          </cell>
          <cell r="E143">
            <v>7.6080000000000005</v>
          </cell>
        </row>
        <row r="144">
          <cell r="A144">
            <v>243</v>
          </cell>
          <cell r="B144" t="str">
            <v>Tubería sanitaria PVC 6"</v>
          </cell>
          <cell r="C144">
            <v>15402</v>
          </cell>
          <cell r="D144" t="str">
            <v>ml.</v>
          </cell>
          <cell r="E144">
            <v>15.402000000000001</v>
          </cell>
        </row>
        <row r="145">
          <cell r="A145">
            <v>244</v>
          </cell>
          <cell r="C145">
            <v>0</v>
          </cell>
          <cell r="E145">
            <v>0</v>
          </cell>
        </row>
        <row r="146">
          <cell r="A146">
            <v>245</v>
          </cell>
          <cell r="C146">
            <v>0</v>
          </cell>
          <cell r="E146">
            <v>0</v>
          </cell>
        </row>
        <row r="147">
          <cell r="A147">
            <v>246</v>
          </cell>
          <cell r="B147" t="str">
            <v>Rejilla para drenaje  Ø = 4"</v>
          </cell>
          <cell r="C147">
            <v>4000</v>
          </cell>
          <cell r="D147" t="str">
            <v>Und.</v>
          </cell>
          <cell r="E147">
            <v>4</v>
          </cell>
        </row>
        <row r="148">
          <cell r="A148">
            <v>247</v>
          </cell>
          <cell r="C148">
            <v>0</v>
          </cell>
          <cell r="E148">
            <v>0</v>
          </cell>
        </row>
        <row r="149">
          <cell r="A149">
            <v>248</v>
          </cell>
          <cell r="C149">
            <v>0</v>
          </cell>
          <cell r="E149">
            <v>0</v>
          </cell>
        </row>
        <row r="150">
          <cell r="A150">
            <v>249</v>
          </cell>
          <cell r="C150">
            <v>0</v>
          </cell>
          <cell r="E150">
            <v>0</v>
          </cell>
        </row>
        <row r="151">
          <cell r="A151">
            <v>250</v>
          </cell>
          <cell r="B151" t="str">
            <v>Escombros</v>
          </cell>
          <cell r="C151">
            <v>0</v>
          </cell>
          <cell r="D151" t="str">
            <v>m³</v>
          </cell>
          <cell r="E151">
            <v>100</v>
          </cell>
        </row>
        <row r="152">
          <cell r="A152">
            <v>251</v>
          </cell>
          <cell r="C152">
            <v>0</v>
          </cell>
          <cell r="E152">
            <v>0</v>
          </cell>
        </row>
        <row r="153">
          <cell r="A153">
            <v>252</v>
          </cell>
          <cell r="C153">
            <v>0</v>
          </cell>
          <cell r="E153">
            <v>0</v>
          </cell>
        </row>
        <row r="154">
          <cell r="A154">
            <v>253</v>
          </cell>
          <cell r="C154">
            <v>0</v>
          </cell>
          <cell r="E154">
            <v>0</v>
          </cell>
        </row>
        <row r="155">
          <cell r="A155">
            <v>254</v>
          </cell>
          <cell r="C155">
            <v>0</v>
          </cell>
          <cell r="E155">
            <v>0</v>
          </cell>
        </row>
        <row r="156">
          <cell r="A156">
            <v>255</v>
          </cell>
          <cell r="B156" t="str">
            <v>Almoadilla de Neopreno dureza 60  e=4"</v>
          </cell>
          <cell r="C156">
            <v>150000</v>
          </cell>
          <cell r="D156" t="str">
            <v>m²</v>
          </cell>
          <cell r="E156">
            <v>150</v>
          </cell>
        </row>
        <row r="157">
          <cell r="A157">
            <v>256</v>
          </cell>
          <cell r="C157">
            <v>0</v>
          </cell>
          <cell r="E157">
            <v>0</v>
          </cell>
        </row>
        <row r="158">
          <cell r="A158">
            <v>257</v>
          </cell>
          <cell r="C158">
            <v>0</v>
          </cell>
          <cell r="E158">
            <v>0</v>
          </cell>
        </row>
        <row r="159">
          <cell r="A159">
            <v>258</v>
          </cell>
          <cell r="C159">
            <v>0</v>
          </cell>
          <cell r="E159">
            <v>0</v>
          </cell>
        </row>
        <row r="160">
          <cell r="A160">
            <v>259</v>
          </cell>
          <cell r="C160">
            <v>0</v>
          </cell>
          <cell r="E160">
            <v>0</v>
          </cell>
        </row>
        <row r="161">
          <cell r="A161">
            <v>260</v>
          </cell>
          <cell r="B161" t="str">
            <v>Ladrillo tolette</v>
          </cell>
          <cell r="C161">
            <v>365</v>
          </cell>
          <cell r="D161" t="str">
            <v>Und</v>
          </cell>
          <cell r="E161">
            <v>3.65</v>
          </cell>
        </row>
        <row r="162">
          <cell r="A162">
            <v>261</v>
          </cell>
          <cell r="C162">
            <v>0</v>
          </cell>
          <cell r="E162">
            <v>0</v>
          </cell>
        </row>
        <row r="163">
          <cell r="A163">
            <v>262</v>
          </cell>
          <cell r="C163">
            <v>0</v>
          </cell>
          <cell r="E163">
            <v>0</v>
          </cell>
        </row>
        <row r="164">
          <cell r="A164">
            <v>263</v>
          </cell>
          <cell r="C164">
            <v>0</v>
          </cell>
          <cell r="E164">
            <v>0</v>
          </cell>
        </row>
        <row r="165">
          <cell r="A165">
            <v>264</v>
          </cell>
          <cell r="C165">
            <v>0</v>
          </cell>
          <cell r="E165">
            <v>0</v>
          </cell>
        </row>
        <row r="166">
          <cell r="A166">
            <v>265</v>
          </cell>
          <cell r="C166">
            <v>0</v>
          </cell>
          <cell r="E166">
            <v>0</v>
          </cell>
        </row>
        <row r="167">
          <cell r="A167">
            <v>266</v>
          </cell>
          <cell r="C167">
            <v>0</v>
          </cell>
          <cell r="E167">
            <v>0</v>
          </cell>
        </row>
        <row r="168">
          <cell r="A168">
            <v>267</v>
          </cell>
          <cell r="C168">
            <v>0</v>
          </cell>
          <cell r="E168">
            <v>0</v>
          </cell>
        </row>
        <row r="169">
          <cell r="A169">
            <v>268</v>
          </cell>
          <cell r="C169">
            <v>0</v>
          </cell>
          <cell r="E169">
            <v>0</v>
          </cell>
        </row>
        <row r="170">
          <cell r="A170">
            <v>269</v>
          </cell>
          <cell r="C170">
            <v>0</v>
          </cell>
          <cell r="E170">
            <v>0</v>
          </cell>
        </row>
        <row r="171">
          <cell r="A171">
            <v>270</v>
          </cell>
          <cell r="B171" t="str">
            <v>Tubería Novafort de 8"</v>
          </cell>
          <cell r="C171">
            <v>27237</v>
          </cell>
          <cell r="D171" t="str">
            <v>ml.</v>
          </cell>
          <cell r="E171">
            <v>13.618500000000001</v>
          </cell>
        </row>
        <row r="172">
          <cell r="A172">
            <v>271</v>
          </cell>
          <cell r="B172" t="str">
            <v>Tubería Novafort de 10"</v>
          </cell>
          <cell r="C172">
            <v>40064</v>
          </cell>
          <cell r="D172" t="str">
            <v>ml.</v>
          </cell>
          <cell r="E172">
            <v>20.032</v>
          </cell>
        </row>
        <row r="173">
          <cell r="A173">
            <v>272</v>
          </cell>
          <cell r="B173" t="str">
            <v>Tubería Novafort de 12"</v>
          </cell>
          <cell r="C173">
            <v>56807</v>
          </cell>
          <cell r="D173" t="str">
            <v>ml.</v>
          </cell>
          <cell r="E173">
            <v>28.403500000000001</v>
          </cell>
        </row>
        <row r="174">
          <cell r="A174">
            <v>273</v>
          </cell>
          <cell r="B174" t="str">
            <v>Tubería Novafort de 16"</v>
          </cell>
          <cell r="C174">
            <v>89622</v>
          </cell>
          <cell r="D174" t="str">
            <v>ml.</v>
          </cell>
          <cell r="E174">
            <v>44.811</v>
          </cell>
        </row>
        <row r="175">
          <cell r="A175">
            <v>274</v>
          </cell>
          <cell r="C175">
            <v>0</v>
          </cell>
          <cell r="E175">
            <v>0</v>
          </cell>
        </row>
        <row r="176">
          <cell r="A176">
            <v>275</v>
          </cell>
          <cell r="B176" t="str">
            <v>Lubricante PVC</v>
          </cell>
          <cell r="C176">
            <v>8450</v>
          </cell>
          <cell r="D176" t="str">
            <v>lb</v>
          </cell>
          <cell r="E176">
            <v>8.4499999999999993</v>
          </cell>
        </row>
        <row r="177">
          <cell r="A177">
            <v>276</v>
          </cell>
          <cell r="C177">
            <v>0</v>
          </cell>
          <cell r="E177">
            <v>0</v>
          </cell>
        </row>
        <row r="178">
          <cell r="A178">
            <v>277</v>
          </cell>
          <cell r="C178">
            <v>0</v>
          </cell>
          <cell r="E178">
            <v>0</v>
          </cell>
        </row>
        <row r="179">
          <cell r="A179">
            <v>278</v>
          </cell>
          <cell r="C179">
            <v>0</v>
          </cell>
          <cell r="E179">
            <v>0</v>
          </cell>
        </row>
        <row r="180">
          <cell r="A180">
            <v>279</v>
          </cell>
          <cell r="C180">
            <v>0</v>
          </cell>
          <cell r="E180">
            <v>0</v>
          </cell>
        </row>
        <row r="181">
          <cell r="A181">
            <v>280</v>
          </cell>
          <cell r="B181" t="str">
            <v>Mortero 1:3</v>
          </cell>
          <cell r="C181">
            <v>122850</v>
          </cell>
          <cell r="D181" t="str">
            <v>m³</v>
          </cell>
          <cell r="E181">
            <v>122.85000000000001</v>
          </cell>
        </row>
        <row r="182">
          <cell r="A182">
            <v>281</v>
          </cell>
          <cell r="B182" t="str">
            <v>Concreto 3000psi</v>
          </cell>
          <cell r="C182">
            <v>0</v>
          </cell>
          <cell r="D182" t="str">
            <v>m³</v>
          </cell>
          <cell r="E182">
            <v>0</v>
          </cell>
        </row>
        <row r="183">
          <cell r="A183">
            <v>282</v>
          </cell>
          <cell r="B183" t="str">
            <v>Concreto 4000psi</v>
          </cell>
          <cell r="C183">
            <v>0</v>
          </cell>
          <cell r="D183" t="str">
            <v>m³</v>
          </cell>
          <cell r="E183">
            <v>0</v>
          </cell>
        </row>
        <row r="184">
          <cell r="A184">
            <v>283</v>
          </cell>
          <cell r="B184" t="str">
            <v>Mortero de pega</v>
          </cell>
          <cell r="C184">
            <v>135135</v>
          </cell>
          <cell r="D184" t="str">
            <v>m³</v>
          </cell>
          <cell r="E184">
            <v>135.13499999999999</v>
          </cell>
        </row>
        <row r="185">
          <cell r="A185">
            <v>284</v>
          </cell>
          <cell r="C185">
            <v>0</v>
          </cell>
          <cell r="E185">
            <v>0</v>
          </cell>
        </row>
        <row r="186">
          <cell r="A186">
            <v>285</v>
          </cell>
          <cell r="C186">
            <v>0</v>
          </cell>
          <cell r="E186">
            <v>0</v>
          </cell>
        </row>
        <row r="187">
          <cell r="A187">
            <v>286</v>
          </cell>
          <cell r="C187">
            <v>0</v>
          </cell>
          <cell r="E187">
            <v>0</v>
          </cell>
        </row>
        <row r="188">
          <cell r="A188">
            <v>287</v>
          </cell>
          <cell r="C188">
            <v>0</v>
          </cell>
          <cell r="E188">
            <v>0</v>
          </cell>
        </row>
        <row r="189">
          <cell r="A189">
            <v>288</v>
          </cell>
          <cell r="C189">
            <v>0</v>
          </cell>
          <cell r="E189">
            <v>0</v>
          </cell>
        </row>
        <row r="190">
          <cell r="A190">
            <v>289</v>
          </cell>
          <cell r="C190">
            <v>0</v>
          </cell>
          <cell r="E190">
            <v>0</v>
          </cell>
        </row>
        <row r="191">
          <cell r="A191">
            <v>290</v>
          </cell>
          <cell r="B191" t="str">
            <v>Sika-1</v>
          </cell>
          <cell r="C191">
            <v>2430</v>
          </cell>
          <cell r="D191" t="str">
            <v>kg</v>
          </cell>
          <cell r="E191">
            <v>2.4300000000000002</v>
          </cell>
        </row>
        <row r="192">
          <cell r="A192">
            <v>291</v>
          </cell>
          <cell r="C192">
            <v>0</v>
          </cell>
          <cell r="E192">
            <v>0</v>
          </cell>
        </row>
        <row r="193">
          <cell r="A193">
            <v>292</v>
          </cell>
          <cell r="C193">
            <v>0</v>
          </cell>
          <cell r="E193">
            <v>0</v>
          </cell>
        </row>
        <row r="194">
          <cell r="A194">
            <v>293</v>
          </cell>
          <cell r="C194">
            <v>0</v>
          </cell>
          <cell r="E194">
            <v>0</v>
          </cell>
        </row>
        <row r="195">
          <cell r="A195">
            <v>294</v>
          </cell>
          <cell r="C195">
            <v>0</v>
          </cell>
          <cell r="E195">
            <v>0</v>
          </cell>
        </row>
        <row r="196">
          <cell r="A196">
            <v>295</v>
          </cell>
          <cell r="C196">
            <v>0</v>
          </cell>
          <cell r="E196">
            <v>0</v>
          </cell>
        </row>
        <row r="197">
          <cell r="A197">
            <v>296</v>
          </cell>
          <cell r="C197">
            <v>0</v>
          </cell>
          <cell r="E197">
            <v>0</v>
          </cell>
        </row>
        <row r="198">
          <cell r="A198">
            <v>297</v>
          </cell>
          <cell r="C198">
            <v>0</v>
          </cell>
          <cell r="E198">
            <v>0</v>
          </cell>
        </row>
        <row r="199">
          <cell r="A199">
            <v>298</v>
          </cell>
          <cell r="C199">
            <v>0</v>
          </cell>
          <cell r="E199">
            <v>0</v>
          </cell>
        </row>
        <row r="200">
          <cell r="A200">
            <v>299</v>
          </cell>
          <cell r="C200">
            <v>0</v>
          </cell>
          <cell r="E200">
            <v>0</v>
          </cell>
        </row>
        <row r="201">
          <cell r="A201">
            <v>300</v>
          </cell>
          <cell r="B201" t="str">
            <v>Material común de relleno</v>
          </cell>
          <cell r="C201">
            <v>3000</v>
          </cell>
          <cell r="D201" t="str">
            <v>m³</v>
          </cell>
          <cell r="E201">
            <v>30</v>
          </cell>
        </row>
        <row r="202">
          <cell r="A202">
            <v>301</v>
          </cell>
          <cell r="B202" t="str">
            <v>Material seleccionado de relleno</v>
          </cell>
          <cell r="C202">
            <v>8500</v>
          </cell>
          <cell r="D202" t="str">
            <v>m³</v>
          </cell>
          <cell r="E202">
            <v>85</v>
          </cell>
        </row>
        <row r="203">
          <cell r="A203">
            <v>302</v>
          </cell>
          <cell r="C203">
            <v>0</v>
          </cell>
        </row>
        <row r="204">
          <cell r="A204">
            <v>303</v>
          </cell>
          <cell r="C204">
            <v>0</v>
          </cell>
        </row>
        <row r="205">
          <cell r="A205">
            <v>304</v>
          </cell>
          <cell r="C205">
            <v>0</v>
          </cell>
        </row>
        <row r="206">
          <cell r="A206">
            <v>305</v>
          </cell>
          <cell r="C206">
            <v>0</v>
          </cell>
        </row>
        <row r="207">
          <cell r="A207">
            <v>306</v>
          </cell>
          <cell r="C207">
            <v>0</v>
          </cell>
        </row>
        <row r="208">
          <cell r="A208">
            <v>307</v>
          </cell>
          <cell r="C208">
            <v>0</v>
          </cell>
        </row>
        <row r="209">
          <cell r="A209">
            <v>308</v>
          </cell>
          <cell r="C209">
            <v>0</v>
          </cell>
        </row>
        <row r="210">
          <cell r="A210">
            <v>309</v>
          </cell>
          <cell r="C210">
            <v>0</v>
          </cell>
        </row>
        <row r="211">
          <cell r="A211">
            <v>310</v>
          </cell>
          <cell r="B211" t="str">
            <v>Tapa y anillo en hierro fundido</v>
          </cell>
          <cell r="C211">
            <v>132600</v>
          </cell>
          <cell r="D211" t="str">
            <v>Und.</v>
          </cell>
        </row>
        <row r="212">
          <cell r="A212">
            <v>311</v>
          </cell>
          <cell r="C212">
            <v>0</v>
          </cell>
        </row>
        <row r="213">
          <cell r="A213">
            <v>312</v>
          </cell>
          <cell r="C213">
            <v>0</v>
          </cell>
        </row>
        <row r="214">
          <cell r="A214">
            <v>313</v>
          </cell>
          <cell r="C214">
            <v>0</v>
          </cell>
        </row>
        <row r="215">
          <cell r="A215">
            <v>314</v>
          </cell>
          <cell r="C215">
            <v>0</v>
          </cell>
        </row>
        <row r="216">
          <cell r="A216">
            <v>315</v>
          </cell>
          <cell r="C216">
            <v>0</v>
          </cell>
        </row>
        <row r="217">
          <cell r="A217">
            <v>316</v>
          </cell>
          <cell r="C217">
            <v>0</v>
          </cell>
        </row>
        <row r="218">
          <cell r="A218">
            <v>317</v>
          </cell>
          <cell r="C218">
            <v>0</v>
          </cell>
        </row>
        <row r="219">
          <cell r="A219">
            <v>318</v>
          </cell>
          <cell r="C219">
            <v>0</v>
          </cell>
        </row>
        <row r="220">
          <cell r="A220">
            <v>319</v>
          </cell>
          <cell r="C220">
            <v>0</v>
          </cell>
        </row>
        <row r="221">
          <cell r="A221">
            <v>320</v>
          </cell>
          <cell r="C221">
            <v>0</v>
          </cell>
        </row>
        <row r="222">
          <cell r="A222">
            <v>321</v>
          </cell>
          <cell r="C222">
            <v>0</v>
          </cell>
        </row>
        <row r="223">
          <cell r="A223">
            <v>322</v>
          </cell>
          <cell r="C223">
            <v>0</v>
          </cell>
        </row>
        <row r="224">
          <cell r="A224">
            <v>323</v>
          </cell>
          <cell r="C224">
            <v>0</v>
          </cell>
        </row>
        <row r="225">
          <cell r="A225">
            <v>324</v>
          </cell>
          <cell r="C225">
            <v>0</v>
          </cell>
        </row>
        <row r="226">
          <cell r="A226">
            <v>325</v>
          </cell>
          <cell r="C226">
            <v>0</v>
          </cell>
        </row>
        <row r="227">
          <cell r="A227">
            <v>326</v>
          </cell>
          <cell r="C227">
            <v>0</v>
          </cell>
        </row>
        <row r="228">
          <cell r="A228">
            <v>327</v>
          </cell>
          <cell r="C228">
            <v>0</v>
          </cell>
        </row>
        <row r="229">
          <cell r="A229">
            <v>328</v>
          </cell>
          <cell r="C229">
            <v>0</v>
          </cell>
        </row>
        <row r="230">
          <cell r="A230">
            <v>329</v>
          </cell>
          <cell r="C230">
            <v>0</v>
          </cell>
        </row>
        <row r="231">
          <cell r="A231">
            <v>330</v>
          </cell>
          <cell r="C231">
            <v>0</v>
          </cell>
        </row>
        <row r="232">
          <cell r="A232">
            <v>331</v>
          </cell>
          <cell r="C232">
            <v>0</v>
          </cell>
        </row>
        <row r="233">
          <cell r="A233">
            <v>332</v>
          </cell>
          <cell r="C233">
            <v>0</v>
          </cell>
        </row>
        <row r="234">
          <cell r="A234">
            <v>333</v>
          </cell>
          <cell r="C234">
            <v>0</v>
          </cell>
        </row>
        <row r="235">
          <cell r="A235">
            <v>334</v>
          </cell>
          <cell r="C235">
            <v>0</v>
          </cell>
        </row>
        <row r="236">
          <cell r="A236">
            <v>335</v>
          </cell>
          <cell r="C236">
            <v>0</v>
          </cell>
        </row>
        <row r="237">
          <cell r="A237">
            <v>336</v>
          </cell>
          <cell r="C237">
            <v>0</v>
          </cell>
        </row>
        <row r="238">
          <cell r="A238">
            <v>337</v>
          </cell>
          <cell r="C238">
            <v>0</v>
          </cell>
        </row>
        <row r="239">
          <cell r="A239">
            <v>338</v>
          </cell>
          <cell r="C239">
            <v>0</v>
          </cell>
        </row>
        <row r="240">
          <cell r="A240">
            <v>339</v>
          </cell>
          <cell r="C240">
            <v>0</v>
          </cell>
        </row>
        <row r="241">
          <cell r="A241">
            <v>340</v>
          </cell>
          <cell r="C241">
            <v>0</v>
          </cell>
        </row>
        <row r="242">
          <cell r="A242">
            <v>341</v>
          </cell>
          <cell r="C242">
            <v>0</v>
          </cell>
        </row>
        <row r="243">
          <cell r="A243">
            <v>342</v>
          </cell>
          <cell r="C243">
            <v>0</v>
          </cell>
        </row>
        <row r="244">
          <cell r="A244">
            <v>343</v>
          </cell>
          <cell r="C244">
            <v>0</v>
          </cell>
        </row>
        <row r="245">
          <cell r="A245">
            <v>344</v>
          </cell>
          <cell r="C245">
            <v>0</v>
          </cell>
        </row>
        <row r="246">
          <cell r="A246">
            <v>345</v>
          </cell>
          <cell r="C246">
            <v>0</v>
          </cell>
        </row>
        <row r="247">
          <cell r="A247">
            <v>346</v>
          </cell>
          <cell r="C247">
            <v>0</v>
          </cell>
        </row>
        <row r="248">
          <cell r="A248">
            <v>347</v>
          </cell>
          <cell r="C248">
            <v>0</v>
          </cell>
        </row>
        <row r="249">
          <cell r="A249">
            <v>348</v>
          </cell>
          <cell r="C249">
            <v>0</v>
          </cell>
        </row>
        <row r="250">
          <cell r="A250">
            <v>349</v>
          </cell>
          <cell r="C250">
            <v>0</v>
          </cell>
        </row>
        <row r="251">
          <cell r="A251">
            <v>350</v>
          </cell>
          <cell r="C251">
            <v>0</v>
          </cell>
        </row>
        <row r="252">
          <cell r="A252">
            <v>351</v>
          </cell>
          <cell r="C252">
            <v>0</v>
          </cell>
        </row>
        <row r="253">
          <cell r="A253">
            <v>352</v>
          </cell>
          <cell r="C253">
            <v>0</v>
          </cell>
        </row>
        <row r="254">
          <cell r="A254">
            <v>353</v>
          </cell>
          <cell r="C254">
            <v>0</v>
          </cell>
        </row>
        <row r="255">
          <cell r="A255">
            <v>354</v>
          </cell>
          <cell r="C255">
            <v>0</v>
          </cell>
        </row>
        <row r="256">
          <cell r="A256">
            <v>355</v>
          </cell>
          <cell r="C256">
            <v>0</v>
          </cell>
        </row>
        <row r="257">
          <cell r="A257">
            <v>356</v>
          </cell>
          <cell r="C257">
            <v>0</v>
          </cell>
        </row>
        <row r="258">
          <cell r="A258">
            <v>357</v>
          </cell>
          <cell r="C258">
            <v>0</v>
          </cell>
        </row>
        <row r="259">
          <cell r="A259">
            <v>358</v>
          </cell>
          <cell r="C259">
            <v>0</v>
          </cell>
        </row>
        <row r="260">
          <cell r="A260">
            <v>359</v>
          </cell>
          <cell r="C260">
            <v>0</v>
          </cell>
        </row>
        <row r="261">
          <cell r="A261">
            <v>360</v>
          </cell>
          <cell r="C261">
            <v>0</v>
          </cell>
        </row>
        <row r="262">
          <cell r="A262">
            <v>361</v>
          </cell>
          <cell r="C262">
            <v>0</v>
          </cell>
        </row>
        <row r="263">
          <cell r="A263">
            <v>362</v>
          </cell>
          <cell r="C263">
            <v>0</v>
          </cell>
        </row>
        <row r="264">
          <cell r="A264">
            <v>363</v>
          </cell>
          <cell r="C264">
            <v>0</v>
          </cell>
        </row>
        <row r="265">
          <cell r="A265">
            <v>364</v>
          </cell>
          <cell r="C265">
            <v>0</v>
          </cell>
        </row>
        <row r="266">
          <cell r="A266">
            <v>365</v>
          </cell>
          <cell r="C266">
            <v>0</v>
          </cell>
        </row>
        <row r="267">
          <cell r="A267">
            <v>366</v>
          </cell>
          <cell r="C267">
            <v>0</v>
          </cell>
        </row>
        <row r="268">
          <cell r="A268">
            <v>367</v>
          </cell>
          <cell r="C268">
            <v>0</v>
          </cell>
        </row>
        <row r="269">
          <cell r="A269">
            <v>368</v>
          </cell>
          <cell r="C269">
            <v>0</v>
          </cell>
        </row>
        <row r="270">
          <cell r="A270">
            <v>369</v>
          </cell>
          <cell r="C270">
            <v>0</v>
          </cell>
        </row>
        <row r="271">
          <cell r="A271">
            <v>370</v>
          </cell>
          <cell r="C271">
            <v>0</v>
          </cell>
        </row>
        <row r="272">
          <cell r="A272">
            <v>371</v>
          </cell>
          <cell r="C272">
            <v>0</v>
          </cell>
        </row>
        <row r="273">
          <cell r="A273">
            <v>372</v>
          </cell>
          <cell r="C273">
            <v>0</v>
          </cell>
        </row>
        <row r="274">
          <cell r="A274">
            <v>373</v>
          </cell>
          <cell r="C274">
            <v>0</v>
          </cell>
        </row>
        <row r="275">
          <cell r="A275">
            <v>374</v>
          </cell>
          <cell r="C275">
            <v>0</v>
          </cell>
        </row>
        <row r="276">
          <cell r="A276">
            <v>375</v>
          </cell>
          <cell r="C276">
            <v>0</v>
          </cell>
        </row>
        <row r="277">
          <cell r="A277">
            <v>376</v>
          </cell>
          <cell r="C277">
            <v>0</v>
          </cell>
        </row>
        <row r="278">
          <cell r="A278">
            <v>377</v>
          </cell>
          <cell r="C278">
            <v>0</v>
          </cell>
        </row>
        <row r="279">
          <cell r="A279">
            <v>378</v>
          </cell>
          <cell r="C279">
            <v>0</v>
          </cell>
        </row>
        <row r="280">
          <cell r="A280">
            <v>379</v>
          </cell>
          <cell r="C280">
            <v>0</v>
          </cell>
        </row>
        <row r="281">
          <cell r="A281">
            <v>380</v>
          </cell>
          <cell r="C281">
            <v>0</v>
          </cell>
        </row>
        <row r="282">
          <cell r="A282">
            <v>381</v>
          </cell>
          <cell r="C282">
            <v>0</v>
          </cell>
        </row>
        <row r="283">
          <cell r="A283">
            <v>382</v>
          </cell>
          <cell r="C283">
            <v>0</v>
          </cell>
        </row>
        <row r="284">
          <cell r="A284">
            <v>383</v>
          </cell>
          <cell r="C284">
            <v>0</v>
          </cell>
        </row>
        <row r="285">
          <cell r="A285">
            <v>384</v>
          </cell>
          <cell r="C285">
            <v>0</v>
          </cell>
        </row>
        <row r="286">
          <cell r="A286">
            <v>385</v>
          </cell>
          <cell r="C286">
            <v>0</v>
          </cell>
        </row>
        <row r="287">
          <cell r="A287">
            <v>386</v>
          </cell>
          <cell r="C287">
            <v>0</v>
          </cell>
        </row>
        <row r="288">
          <cell r="A288">
            <v>387</v>
          </cell>
          <cell r="C288">
            <v>0</v>
          </cell>
        </row>
        <row r="289">
          <cell r="A289">
            <v>388</v>
          </cell>
          <cell r="C289">
            <v>0</v>
          </cell>
        </row>
        <row r="290">
          <cell r="A290">
            <v>389</v>
          </cell>
          <cell r="C290">
            <v>0</v>
          </cell>
        </row>
        <row r="291">
          <cell r="A291">
            <v>390</v>
          </cell>
          <cell r="C291">
            <v>0</v>
          </cell>
        </row>
        <row r="292">
          <cell r="A292">
            <v>391</v>
          </cell>
          <cell r="C292">
            <v>0</v>
          </cell>
        </row>
        <row r="293">
          <cell r="A293">
            <v>392</v>
          </cell>
          <cell r="C293">
            <v>0</v>
          </cell>
        </row>
        <row r="294">
          <cell r="A294">
            <v>393</v>
          </cell>
          <cell r="C294">
            <v>0</v>
          </cell>
        </row>
        <row r="295">
          <cell r="A295">
            <v>394</v>
          </cell>
          <cell r="C295">
            <v>0</v>
          </cell>
        </row>
        <row r="296">
          <cell r="A296">
            <v>395</v>
          </cell>
          <cell r="C296">
            <v>0</v>
          </cell>
        </row>
        <row r="297">
          <cell r="A297">
            <v>396</v>
          </cell>
          <cell r="C297">
            <v>0</v>
          </cell>
        </row>
        <row r="298">
          <cell r="A298">
            <v>397</v>
          </cell>
          <cell r="C298">
            <v>0</v>
          </cell>
        </row>
        <row r="299">
          <cell r="A299">
            <v>398</v>
          </cell>
          <cell r="C299">
            <v>0</v>
          </cell>
        </row>
        <row r="300">
          <cell r="A300">
            <v>399</v>
          </cell>
          <cell r="C300">
            <v>0</v>
          </cell>
        </row>
        <row r="301">
          <cell r="A301">
            <v>400</v>
          </cell>
          <cell r="B301" t="str">
            <v>Ingeniero</v>
          </cell>
          <cell r="C301">
            <v>25000</v>
          </cell>
        </row>
        <row r="302">
          <cell r="A302">
            <v>401</v>
          </cell>
          <cell r="B302" t="str">
            <v>Topógrafo</v>
          </cell>
          <cell r="C302">
            <v>12500</v>
          </cell>
        </row>
        <row r="303">
          <cell r="A303">
            <v>402</v>
          </cell>
          <cell r="B303" t="str">
            <v>Maestro</v>
          </cell>
          <cell r="C303">
            <v>12500</v>
          </cell>
        </row>
        <row r="304">
          <cell r="A304">
            <v>403</v>
          </cell>
          <cell r="B304" t="str">
            <v>Oficial</v>
          </cell>
          <cell r="C304">
            <v>5000</v>
          </cell>
        </row>
        <row r="305">
          <cell r="A305">
            <v>404</v>
          </cell>
          <cell r="B305" t="str">
            <v>Ayudante</v>
          </cell>
          <cell r="C305">
            <v>5000</v>
          </cell>
        </row>
        <row r="306">
          <cell r="A306">
            <v>405</v>
          </cell>
          <cell r="B306" t="str">
            <v>Cadenero 1º</v>
          </cell>
          <cell r="C306">
            <v>8000</v>
          </cell>
        </row>
        <row r="307">
          <cell r="A307">
            <v>406</v>
          </cell>
          <cell r="B307" t="str">
            <v>Cadenero 2º</v>
          </cell>
          <cell r="C307">
            <v>5000</v>
          </cell>
        </row>
        <row r="308">
          <cell r="A308">
            <v>407</v>
          </cell>
          <cell r="B308" t="str">
            <v>Técnico especializado</v>
          </cell>
          <cell r="C308">
            <v>15000</v>
          </cell>
        </row>
        <row r="309">
          <cell r="A309">
            <v>408</v>
          </cell>
          <cell r="C309">
            <v>0</v>
          </cell>
        </row>
        <row r="310">
          <cell r="A310">
            <v>409</v>
          </cell>
          <cell r="C310">
            <v>0</v>
          </cell>
        </row>
        <row r="311">
          <cell r="A311">
            <v>410</v>
          </cell>
          <cell r="C311">
            <v>0</v>
          </cell>
        </row>
        <row r="312">
          <cell r="A312">
            <v>411</v>
          </cell>
          <cell r="C312">
            <v>0</v>
          </cell>
        </row>
        <row r="313">
          <cell r="A313">
            <v>412</v>
          </cell>
          <cell r="C313">
            <v>0</v>
          </cell>
        </row>
        <row r="314">
          <cell r="A314">
            <v>413</v>
          </cell>
          <cell r="C314">
            <v>0</v>
          </cell>
        </row>
        <row r="315">
          <cell r="A315">
            <v>414</v>
          </cell>
          <cell r="C315">
            <v>0</v>
          </cell>
        </row>
        <row r="316">
          <cell r="A316">
            <v>415</v>
          </cell>
          <cell r="C316">
            <v>0</v>
          </cell>
        </row>
        <row r="317">
          <cell r="A317">
            <v>416</v>
          </cell>
          <cell r="C317">
            <v>0</v>
          </cell>
        </row>
        <row r="318">
          <cell r="A318">
            <v>417</v>
          </cell>
          <cell r="C318">
            <v>0</v>
          </cell>
        </row>
        <row r="319">
          <cell r="A319">
            <v>418</v>
          </cell>
          <cell r="C319">
            <v>0</v>
          </cell>
        </row>
        <row r="320">
          <cell r="A320">
            <v>419</v>
          </cell>
          <cell r="C320">
            <v>0</v>
          </cell>
        </row>
        <row r="321">
          <cell r="A321">
            <v>420</v>
          </cell>
          <cell r="C321">
            <v>0</v>
          </cell>
        </row>
        <row r="322">
          <cell r="A322">
            <v>421</v>
          </cell>
          <cell r="C322">
            <v>0</v>
          </cell>
        </row>
        <row r="323">
          <cell r="A323">
            <v>422</v>
          </cell>
          <cell r="C323">
            <v>0</v>
          </cell>
        </row>
        <row r="324">
          <cell r="A324">
            <v>423</v>
          </cell>
          <cell r="C324">
            <v>0</v>
          </cell>
        </row>
        <row r="325">
          <cell r="A325">
            <v>424</v>
          </cell>
          <cell r="C325">
            <v>0</v>
          </cell>
        </row>
        <row r="326">
          <cell r="A326">
            <v>425</v>
          </cell>
          <cell r="C326">
            <v>0</v>
          </cell>
        </row>
        <row r="327">
          <cell r="A327">
            <v>426</v>
          </cell>
          <cell r="C327">
            <v>0</v>
          </cell>
        </row>
        <row r="328">
          <cell r="A328">
            <v>427</v>
          </cell>
          <cell r="C328">
            <v>0</v>
          </cell>
        </row>
        <row r="329">
          <cell r="A329">
            <v>428</v>
          </cell>
          <cell r="C329">
            <v>0</v>
          </cell>
        </row>
        <row r="330">
          <cell r="A330">
            <v>429</v>
          </cell>
          <cell r="C330">
            <v>0</v>
          </cell>
        </row>
        <row r="331">
          <cell r="A331">
            <v>430</v>
          </cell>
          <cell r="C331">
            <v>0</v>
          </cell>
        </row>
        <row r="332">
          <cell r="A332">
            <v>431</v>
          </cell>
          <cell r="C332">
            <v>0</v>
          </cell>
        </row>
        <row r="333">
          <cell r="A333">
            <v>432</v>
          </cell>
          <cell r="C333">
            <v>0</v>
          </cell>
        </row>
        <row r="334">
          <cell r="A334">
            <v>433</v>
          </cell>
          <cell r="C334">
            <v>0</v>
          </cell>
        </row>
        <row r="335">
          <cell r="A335">
            <v>434</v>
          </cell>
          <cell r="C335">
            <v>0</v>
          </cell>
        </row>
        <row r="336">
          <cell r="A336">
            <v>435</v>
          </cell>
          <cell r="C336">
            <v>0</v>
          </cell>
        </row>
        <row r="337">
          <cell r="A337">
            <v>436</v>
          </cell>
          <cell r="C337">
            <v>0</v>
          </cell>
        </row>
        <row r="338">
          <cell r="A338">
            <v>437</v>
          </cell>
          <cell r="C338">
            <v>0</v>
          </cell>
        </row>
        <row r="339">
          <cell r="A339">
            <v>438</v>
          </cell>
          <cell r="C339">
            <v>0</v>
          </cell>
        </row>
        <row r="340">
          <cell r="A340">
            <v>439</v>
          </cell>
          <cell r="C340">
            <v>0</v>
          </cell>
        </row>
        <row r="341">
          <cell r="A341">
            <v>440</v>
          </cell>
          <cell r="C341">
            <v>0</v>
          </cell>
        </row>
        <row r="342">
          <cell r="A342">
            <v>441</v>
          </cell>
          <cell r="C342">
            <v>0</v>
          </cell>
        </row>
        <row r="343">
          <cell r="A343">
            <v>442</v>
          </cell>
          <cell r="C343">
            <v>0</v>
          </cell>
        </row>
        <row r="344">
          <cell r="A344">
            <v>443</v>
          </cell>
          <cell r="C344">
            <v>0</v>
          </cell>
        </row>
        <row r="345">
          <cell r="A345">
            <v>444</v>
          </cell>
          <cell r="C345">
            <v>0</v>
          </cell>
        </row>
        <row r="346">
          <cell r="A346">
            <v>445</v>
          </cell>
          <cell r="C346">
            <v>0</v>
          </cell>
        </row>
        <row r="347">
          <cell r="A347">
            <v>446</v>
          </cell>
          <cell r="C347">
            <v>0</v>
          </cell>
        </row>
        <row r="348">
          <cell r="A348">
            <v>447</v>
          </cell>
          <cell r="C348">
            <v>0</v>
          </cell>
        </row>
        <row r="349">
          <cell r="A349">
            <v>448</v>
          </cell>
          <cell r="C349">
            <v>0</v>
          </cell>
        </row>
        <row r="350">
          <cell r="A350">
            <v>449</v>
          </cell>
          <cell r="C350">
            <v>0</v>
          </cell>
        </row>
        <row r="351">
          <cell r="A351">
            <v>450</v>
          </cell>
          <cell r="C351">
            <v>0</v>
          </cell>
        </row>
        <row r="352">
          <cell r="A352">
            <v>451</v>
          </cell>
          <cell r="C352">
            <v>0</v>
          </cell>
        </row>
        <row r="353">
          <cell r="A353">
            <v>452</v>
          </cell>
          <cell r="C353">
            <v>0</v>
          </cell>
        </row>
        <row r="354">
          <cell r="A354">
            <v>453</v>
          </cell>
          <cell r="C354">
            <v>0</v>
          </cell>
        </row>
        <row r="355">
          <cell r="A355">
            <v>454</v>
          </cell>
          <cell r="C355">
            <v>0</v>
          </cell>
        </row>
        <row r="356">
          <cell r="A356">
            <v>455</v>
          </cell>
          <cell r="C356">
            <v>0</v>
          </cell>
        </row>
        <row r="357">
          <cell r="A357">
            <v>456</v>
          </cell>
          <cell r="C357">
            <v>0</v>
          </cell>
        </row>
        <row r="358">
          <cell r="A358">
            <v>457</v>
          </cell>
          <cell r="C358">
            <v>0</v>
          </cell>
        </row>
        <row r="359">
          <cell r="A359">
            <v>458</v>
          </cell>
          <cell r="C359">
            <v>0</v>
          </cell>
        </row>
        <row r="360">
          <cell r="A360">
            <v>459</v>
          </cell>
          <cell r="C360">
            <v>0</v>
          </cell>
        </row>
        <row r="361">
          <cell r="A361">
            <v>460</v>
          </cell>
          <cell r="C361">
            <v>0</v>
          </cell>
        </row>
        <row r="362">
          <cell r="A362">
            <v>461</v>
          </cell>
          <cell r="C362">
            <v>0</v>
          </cell>
        </row>
        <row r="363">
          <cell r="A363">
            <v>462</v>
          </cell>
          <cell r="C363">
            <v>0</v>
          </cell>
        </row>
        <row r="364">
          <cell r="A364">
            <v>463</v>
          </cell>
          <cell r="C364">
            <v>0</v>
          </cell>
        </row>
        <row r="365">
          <cell r="A365">
            <v>464</v>
          </cell>
          <cell r="C365">
            <v>0</v>
          </cell>
        </row>
        <row r="366">
          <cell r="A366">
            <v>465</v>
          </cell>
          <cell r="C366">
            <v>0</v>
          </cell>
        </row>
        <row r="367">
          <cell r="A367">
            <v>466</v>
          </cell>
          <cell r="C367">
            <v>0</v>
          </cell>
        </row>
        <row r="368">
          <cell r="A368">
            <v>467</v>
          </cell>
          <cell r="C368">
            <v>0</v>
          </cell>
        </row>
        <row r="369">
          <cell r="A369">
            <v>468</v>
          </cell>
          <cell r="C369">
            <v>0</v>
          </cell>
        </row>
        <row r="370">
          <cell r="A370">
            <v>469</v>
          </cell>
          <cell r="C370">
            <v>0</v>
          </cell>
        </row>
        <row r="371">
          <cell r="A371">
            <v>470</v>
          </cell>
          <cell r="C371">
            <v>0</v>
          </cell>
        </row>
        <row r="372">
          <cell r="A372">
            <v>471</v>
          </cell>
          <cell r="C372">
            <v>0</v>
          </cell>
        </row>
        <row r="373">
          <cell r="A373">
            <v>472</v>
          </cell>
          <cell r="C373">
            <v>0</v>
          </cell>
        </row>
        <row r="374">
          <cell r="A374">
            <v>473</v>
          </cell>
          <cell r="C374">
            <v>0</v>
          </cell>
        </row>
        <row r="375">
          <cell r="A375">
            <v>474</v>
          </cell>
          <cell r="C375">
            <v>0</v>
          </cell>
        </row>
        <row r="376">
          <cell r="A376">
            <v>475</v>
          </cell>
          <cell r="C376">
            <v>0</v>
          </cell>
        </row>
        <row r="377">
          <cell r="A377">
            <v>476</v>
          </cell>
          <cell r="C377">
            <v>0</v>
          </cell>
        </row>
        <row r="378">
          <cell r="A378">
            <v>477</v>
          </cell>
          <cell r="C378">
            <v>0</v>
          </cell>
        </row>
        <row r="379">
          <cell r="A379">
            <v>478</v>
          </cell>
          <cell r="C379">
            <v>0</v>
          </cell>
        </row>
        <row r="380">
          <cell r="A380">
            <v>479</v>
          </cell>
          <cell r="C380">
            <v>0</v>
          </cell>
        </row>
        <row r="381">
          <cell r="A381">
            <v>480</v>
          </cell>
          <cell r="C381">
            <v>0</v>
          </cell>
        </row>
        <row r="382">
          <cell r="A382">
            <v>481</v>
          </cell>
          <cell r="C382">
            <v>0</v>
          </cell>
        </row>
        <row r="383">
          <cell r="A383">
            <v>482</v>
          </cell>
          <cell r="C383">
            <v>0</v>
          </cell>
        </row>
        <row r="384">
          <cell r="A384">
            <v>483</v>
          </cell>
          <cell r="C384">
            <v>0</v>
          </cell>
        </row>
        <row r="385">
          <cell r="A385">
            <v>484</v>
          </cell>
          <cell r="C385">
            <v>0</v>
          </cell>
        </row>
        <row r="386">
          <cell r="A386">
            <v>485</v>
          </cell>
          <cell r="C386">
            <v>0</v>
          </cell>
        </row>
        <row r="387">
          <cell r="A387">
            <v>486</v>
          </cell>
          <cell r="C387">
            <v>0</v>
          </cell>
        </row>
        <row r="388">
          <cell r="A388">
            <v>487</v>
          </cell>
          <cell r="C388">
            <v>0</v>
          </cell>
        </row>
        <row r="389">
          <cell r="A389">
            <v>488</v>
          </cell>
          <cell r="C389">
            <v>0</v>
          </cell>
        </row>
        <row r="390">
          <cell r="A390">
            <v>489</v>
          </cell>
          <cell r="C390">
            <v>0</v>
          </cell>
        </row>
        <row r="391">
          <cell r="A391">
            <v>490</v>
          </cell>
          <cell r="C391">
            <v>0</v>
          </cell>
        </row>
        <row r="392">
          <cell r="A392">
            <v>491</v>
          </cell>
          <cell r="C392">
            <v>0</v>
          </cell>
        </row>
        <row r="393">
          <cell r="A393">
            <v>492</v>
          </cell>
          <cell r="C393">
            <v>0</v>
          </cell>
        </row>
        <row r="394">
          <cell r="A394">
            <v>493</v>
          </cell>
          <cell r="C394">
            <v>0</v>
          </cell>
        </row>
        <row r="395">
          <cell r="A395">
            <v>494</v>
          </cell>
          <cell r="C395">
            <v>0</v>
          </cell>
        </row>
        <row r="396">
          <cell r="A396">
            <v>495</v>
          </cell>
          <cell r="C396">
            <v>0</v>
          </cell>
        </row>
        <row r="397">
          <cell r="A397">
            <v>496</v>
          </cell>
          <cell r="C397">
            <v>0</v>
          </cell>
        </row>
        <row r="398">
          <cell r="A398">
            <v>497</v>
          </cell>
          <cell r="C398">
            <v>0</v>
          </cell>
        </row>
        <row r="399">
          <cell r="A399">
            <v>498</v>
          </cell>
          <cell r="C399">
            <v>0</v>
          </cell>
        </row>
        <row r="400">
          <cell r="A400">
            <v>499</v>
          </cell>
          <cell r="C400">
            <v>0</v>
          </cell>
        </row>
        <row r="401">
          <cell r="A401">
            <v>500</v>
          </cell>
          <cell r="B401" t="str">
            <v>A. I .U</v>
          </cell>
          <cell r="C401">
            <v>0.25</v>
          </cell>
        </row>
        <row r="402">
          <cell r="A402">
            <v>501</v>
          </cell>
          <cell r="B402" t="str">
            <v>Interventoría</v>
          </cell>
          <cell r="C402">
            <v>0.08</v>
          </cell>
        </row>
        <row r="403">
          <cell r="A403">
            <v>502</v>
          </cell>
          <cell r="B403" t="str">
            <v>Prestaciones Sociales de los Trabajadores</v>
          </cell>
          <cell r="C403">
            <v>0.25</v>
          </cell>
        </row>
        <row r="404">
          <cell r="A404">
            <v>503</v>
          </cell>
          <cell r="B404" t="str">
            <v>Desperdicio materiales</v>
          </cell>
          <cell r="C404">
            <v>0.05</v>
          </cell>
        </row>
        <row r="405">
          <cell r="A405">
            <v>504</v>
          </cell>
          <cell r="B405" t="str">
            <v>Estudios y diseños</v>
          </cell>
          <cell r="C405">
            <v>0.1</v>
          </cell>
        </row>
        <row r="406">
          <cell r="A406">
            <v>505</v>
          </cell>
          <cell r="B406" t="str">
            <v>Administración Mano de Obra O.N.G.</v>
          </cell>
          <cell r="C406">
            <v>0.06</v>
          </cell>
        </row>
        <row r="407">
          <cell r="A407">
            <v>506</v>
          </cell>
          <cell r="B407" t="str">
            <v>Administración Materiales O.N.G.</v>
          </cell>
          <cell r="C407">
            <v>0.04</v>
          </cell>
        </row>
        <row r="408">
          <cell r="A408">
            <v>507</v>
          </cell>
          <cell r="B408" t="str">
            <v>Administración de aportes en especie del municipio</v>
          </cell>
          <cell r="C408">
            <v>0.04</v>
          </cell>
        </row>
        <row r="409">
          <cell r="A409">
            <v>508</v>
          </cell>
        </row>
        <row r="410">
          <cell r="A410">
            <v>509</v>
          </cell>
        </row>
        <row r="411">
          <cell r="A411">
            <v>510</v>
          </cell>
          <cell r="B411" t="str">
            <v>Total Costos Indirectos según presupuesto</v>
          </cell>
          <cell r="C411">
            <v>0.23771416420831784</v>
          </cell>
        </row>
        <row r="412">
          <cell r="A412">
            <v>511</v>
          </cell>
        </row>
        <row r="413">
          <cell r="A413">
            <v>512</v>
          </cell>
        </row>
        <row r="414">
          <cell r="A414">
            <v>513</v>
          </cell>
        </row>
        <row r="415">
          <cell r="A415">
            <v>514</v>
          </cell>
        </row>
        <row r="416">
          <cell r="A416">
            <v>515</v>
          </cell>
        </row>
        <row r="417">
          <cell r="A417">
            <v>516</v>
          </cell>
        </row>
        <row r="418">
          <cell r="A418">
            <v>517</v>
          </cell>
        </row>
        <row r="419">
          <cell r="A419">
            <v>518</v>
          </cell>
        </row>
        <row r="420">
          <cell r="A420">
            <v>519</v>
          </cell>
        </row>
        <row r="421">
          <cell r="A421">
            <v>520</v>
          </cell>
        </row>
        <row r="422">
          <cell r="A422">
            <v>521</v>
          </cell>
        </row>
        <row r="423">
          <cell r="A423">
            <v>522</v>
          </cell>
        </row>
        <row r="424">
          <cell r="A424">
            <v>523</v>
          </cell>
        </row>
        <row r="425">
          <cell r="A425">
            <v>524</v>
          </cell>
        </row>
        <row r="426">
          <cell r="A426">
            <v>525</v>
          </cell>
        </row>
        <row r="427">
          <cell r="A427">
            <v>526</v>
          </cell>
        </row>
        <row r="428">
          <cell r="A428">
            <v>527</v>
          </cell>
        </row>
        <row r="429">
          <cell r="A429">
            <v>528</v>
          </cell>
        </row>
        <row r="430">
          <cell r="A430">
            <v>529</v>
          </cell>
        </row>
        <row r="431">
          <cell r="A431">
            <v>530</v>
          </cell>
        </row>
        <row r="432">
          <cell r="A432">
            <v>531</v>
          </cell>
        </row>
        <row r="433">
          <cell r="A433">
            <v>532</v>
          </cell>
        </row>
        <row r="434">
          <cell r="A434">
            <v>533</v>
          </cell>
        </row>
        <row r="435">
          <cell r="A435">
            <v>534</v>
          </cell>
        </row>
        <row r="436">
          <cell r="A436">
            <v>535</v>
          </cell>
        </row>
        <row r="437">
          <cell r="A437">
            <v>536</v>
          </cell>
        </row>
        <row r="438">
          <cell r="A438">
            <v>537</v>
          </cell>
        </row>
        <row r="439">
          <cell r="A439">
            <v>538</v>
          </cell>
        </row>
        <row r="440">
          <cell r="A440">
            <v>539</v>
          </cell>
        </row>
        <row r="441">
          <cell r="A441">
            <v>540</v>
          </cell>
        </row>
        <row r="442">
          <cell r="A442">
            <v>541</v>
          </cell>
        </row>
        <row r="443">
          <cell r="A443">
            <v>542</v>
          </cell>
        </row>
        <row r="444">
          <cell r="A444">
            <v>543</v>
          </cell>
        </row>
        <row r="445">
          <cell r="A445">
            <v>544</v>
          </cell>
        </row>
        <row r="446">
          <cell r="A446">
            <v>545</v>
          </cell>
        </row>
        <row r="447">
          <cell r="A447">
            <v>546</v>
          </cell>
        </row>
        <row r="448">
          <cell r="A448">
            <v>547</v>
          </cell>
        </row>
        <row r="449">
          <cell r="A449">
            <v>548</v>
          </cell>
        </row>
        <row r="450">
          <cell r="A450">
            <v>549</v>
          </cell>
        </row>
        <row r="504">
          <cell r="A504" t="str">
            <v>OTROS</v>
          </cell>
          <cell r="B504" t="str">
            <v>Distancia Puente 1</v>
          </cell>
          <cell r="C504">
            <v>62</v>
          </cell>
        </row>
        <row r="505">
          <cell r="A505" t="str">
            <v>DATOS</v>
          </cell>
          <cell r="B505" t="str">
            <v>Distancia Puente 2</v>
          </cell>
          <cell r="C505">
            <v>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ro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"/>
      <sheetName val="materiales"/>
      <sheetName val="otros"/>
      <sheetName val="INDICE"/>
      <sheetName val="311.1P"/>
      <sheetName val="701.2P"/>
      <sheetName val="210.2 OTRA"/>
      <sheetName val="650.5P"/>
      <sheetName val="1p"/>
      <sheetName val="4651p"/>
      <sheetName val="LOCALIZACION ESTRUCTURAS"/>
      <sheetName val="LOCALIZACION CARRETERAS"/>
      <sheetName val="200.1"/>
      <sheetName val="200.2"/>
      <sheetName val="200P ROCERIA"/>
      <sheetName val="201.1"/>
      <sheetName val="201.2"/>
      <sheetName val="201.2 ciclopeo"/>
      <sheetName val="201.2 reforzado"/>
      <sheetName val="201.3"/>
      <sheetName val="201.3P"/>
      <sheetName val="201.4"/>
      <sheetName val="201.8P"/>
      <sheetName val="201.9"/>
      <sheetName val="201.10"/>
      <sheetName val="201.11"/>
      <sheetName val="201.12"/>
      <sheetName val="201.13"/>
      <sheetName val="201.14"/>
      <sheetName val="210.1"/>
      <sheetName val="210.2"/>
      <sheetName val="210.3"/>
      <sheetName val="211"/>
      <sheetName val="220"/>
      <sheetName val="221.1"/>
      <sheetName val="221.2"/>
      <sheetName val="225P"/>
      <sheetName val="230.1"/>
      <sheetName val="230.2"/>
      <sheetName val="310"/>
      <sheetName val="311"/>
      <sheetName val="311P1"/>
      <sheetName val="311P2"/>
      <sheetName val="311P3"/>
      <sheetName val="320.1"/>
      <sheetName val="320.2"/>
      <sheetName val="330.1"/>
      <sheetName val="330.2"/>
      <sheetName val="340.1"/>
      <sheetName val="340.2"/>
      <sheetName val="340.3"/>
      <sheetName val="341.1"/>
      <sheetName val="341.2"/>
      <sheetName val="341.1P"/>
      <sheetName val="410.1"/>
      <sheetName val="410.2"/>
      <sheetName val="411.1"/>
      <sheetName val="411.2"/>
      <sheetName val="411.3"/>
      <sheetName val="465.1"/>
      <sheetName val="414.1"/>
      <sheetName val="414.2"/>
      <sheetName val="414.3"/>
      <sheetName val="414.4"/>
      <sheetName val="415"/>
      <sheetName val="420"/>
      <sheetName val="421.1"/>
      <sheetName val="421.2"/>
      <sheetName val="421.3"/>
      <sheetName val="421.4"/>
      <sheetName val="430.1"/>
      <sheetName val="430.2"/>
      <sheetName val="431.1"/>
      <sheetName val="431.2"/>
      <sheetName val="432"/>
      <sheetName val="433.1"/>
      <sheetName val="433.2"/>
      <sheetName val="433.3"/>
      <sheetName val="433.4"/>
      <sheetName val="433.5"/>
      <sheetName val="433.6"/>
      <sheetName val="433.7"/>
      <sheetName val="433.8"/>
      <sheetName val="440.2PREP VIA "/>
      <sheetName val="440.1PREP VIA"/>
      <sheetName val="440.3PREP VIA  "/>
      <sheetName val="440.4"/>
      <sheetName val="441.1"/>
      <sheetName val="441.1P COMPRADA"/>
      <sheetName val="441.2"/>
      <sheetName val="441.2P COMPRADA"/>
      <sheetName val="441.3"/>
      <sheetName val="441.3P COMPRADA"/>
      <sheetName val="441.4"/>
      <sheetName val="450.1"/>
      <sheetName val="450.1P "/>
      <sheetName val="450.2"/>
      <sheetName val="450.2P"/>
      <sheetName val="450.3"/>
      <sheetName val="450.3P "/>
      <sheetName val="450.5"/>
      <sheetName val="451.1"/>
      <sheetName val="451.1P"/>
      <sheetName val="451.2"/>
      <sheetName val="451.2P"/>
      <sheetName val="451.3"/>
      <sheetName val="451.3P"/>
      <sheetName val="452.1"/>
      <sheetName val="452.1P "/>
      <sheetName val="452.2"/>
      <sheetName val="452.2P "/>
      <sheetName val="452.3"/>
      <sheetName val="452.3P"/>
      <sheetName val="452.4"/>
      <sheetName val="452.4P"/>
      <sheetName val="453"/>
      <sheetName val="460"/>
      <sheetName val="460P"/>
      <sheetName val="461.1"/>
      <sheetName val="461.2"/>
      <sheetName val="462.1P"/>
      <sheetName val="462.2P"/>
      <sheetName val="462.3P"/>
      <sheetName val="462.4P"/>
      <sheetName val="462.5"/>
      <sheetName val="500"/>
      <sheetName val="500P"/>
      <sheetName val="510"/>
      <sheetName val="510P1"/>
      <sheetName val="510P2"/>
      <sheetName val="510P3"/>
      <sheetName val="510P5"/>
      <sheetName val="600.1"/>
      <sheetName val="600.2"/>
      <sheetName val="600.3"/>
      <sheetName val="600.4"/>
      <sheetName val="600.4 P"/>
      <sheetName val="600.5"/>
      <sheetName val="600.5 P"/>
      <sheetName val="610.1"/>
      <sheetName val="610.2"/>
      <sheetName val="620.1"/>
      <sheetName val="620.2"/>
      <sheetName val="620.3"/>
      <sheetName val="620P"/>
      <sheetName val="621.1"/>
      <sheetName val="621.2"/>
      <sheetName val="621.3"/>
      <sheetName val="621.4"/>
      <sheetName val="621.5"/>
      <sheetName val="621.5P"/>
      <sheetName val="621.6"/>
      <sheetName val="621,7"/>
      <sheetName val="622.1"/>
      <sheetName val="622.2"/>
      <sheetName val="622.3"/>
      <sheetName val="622.4"/>
      <sheetName val="622.5"/>
      <sheetName val="630.1"/>
      <sheetName val="630.2"/>
      <sheetName val="630.3"/>
      <sheetName val="630.4"/>
      <sheetName val="630.5"/>
      <sheetName val="630.6"/>
      <sheetName val="630.7"/>
      <sheetName val="630.P"/>
      <sheetName val="631P BOLSACRETO"/>
      <sheetName val="632"/>
      <sheetName val="632P"/>
      <sheetName val="640.1"/>
      <sheetName val="640.2"/>
      <sheetName val="640.3"/>
      <sheetName val="641"/>
      <sheetName val="641P ANCLAJES"/>
      <sheetName val="642.1"/>
      <sheetName val="642.2"/>
      <sheetName val="642P2 JUNTAS"/>
      <sheetName val="642P1 JUNTAS"/>
      <sheetName val="642P3 JUNTAS"/>
      <sheetName val="650.1"/>
      <sheetName val="650.2"/>
      <sheetName val="650.3"/>
      <sheetName val="650.3 OTRO"/>
      <sheetName val="650.4"/>
      <sheetName val="660.1P"/>
      <sheetName val="660.1"/>
      <sheetName val="660.2"/>
      <sheetName val="660.3"/>
      <sheetName val="661 TIPO 1"/>
      <sheetName val="661 TIPO 2"/>
      <sheetName val="661 OTRO"/>
      <sheetName val="662.1"/>
      <sheetName val="662.2"/>
      <sheetName val="670.1P"/>
      <sheetName val="670.2"/>
      <sheetName val="671"/>
      <sheetName val="672"/>
      <sheetName val="673.1"/>
      <sheetName val="673.2"/>
      <sheetName val="673.3"/>
      <sheetName val="673.4"/>
      <sheetName val="674"/>
      <sheetName val="675.1"/>
      <sheetName val="675.2"/>
      <sheetName val="675.3"/>
      <sheetName val="676"/>
      <sheetName val="680.1"/>
      <sheetName val="680.2"/>
      <sheetName val="680.3"/>
      <sheetName val="680P"/>
      <sheetName val="681"/>
      <sheetName val="680.1P"/>
      <sheetName val="682"/>
      <sheetName val="683P"/>
      <sheetName val="674.1"/>
      <sheetName val="700.1"/>
      <sheetName val="700.2"/>
      <sheetName val="700P BANDAS SONORAS "/>
      <sheetName val="701"/>
      <sheetName val="710.1"/>
      <sheetName val="710.2"/>
      <sheetName val="710.3"/>
      <sheetName val="710.4"/>
      <sheetName val="710.5"/>
      <sheetName val="720"/>
      <sheetName val="730.1"/>
      <sheetName val="730.2"/>
      <sheetName val="730.3"/>
      <sheetName val="740"/>
      <sheetName val="800.1"/>
      <sheetName val="800.2"/>
      <sheetName val="800.3"/>
      <sheetName val="800.4"/>
      <sheetName val="800P"/>
      <sheetName val="810.1"/>
      <sheetName val="810.1P"/>
      <sheetName val="810.2"/>
      <sheetName val="815P"/>
      <sheetName val="900.1"/>
      <sheetName val="900.2"/>
      <sheetName val="900.3"/>
      <sheetName val="610P"/>
      <sheetName val="hexapodos"/>
      <sheetName val="Hoja1 (2)"/>
      <sheetName val="Hoja2 (2)"/>
      <sheetName val="Hoja3 (2)"/>
      <sheetName val="Hoja1"/>
      <sheetName val="Hoja2"/>
      <sheetName val="Hoja3"/>
    </sheetNames>
    <sheetDataSet>
      <sheetData sheetId="0" refreshError="1">
        <row r="7">
          <cell r="A7" t="str">
            <v>Aspersor manual</v>
          </cell>
        </row>
        <row r="8">
          <cell r="A8" t="str">
            <v>Barredora mecánica de cepillo</v>
          </cell>
        </row>
        <row r="9">
          <cell r="A9" t="str">
            <v>Bomba de inyección de lechada</v>
          </cell>
        </row>
        <row r="10">
          <cell r="A10" t="str">
            <v>Bomba para gato de tensionamiento</v>
          </cell>
        </row>
        <row r="11">
          <cell r="A11" t="str">
            <v>Bomba de concreto</v>
          </cell>
        </row>
        <row r="12">
          <cell r="A12" t="str">
            <v>Buldozer D4</v>
          </cell>
        </row>
        <row r="13">
          <cell r="A13" t="str">
            <v>Buldozer D6</v>
          </cell>
        </row>
        <row r="14">
          <cell r="A14" t="str">
            <v>Buldozer D8 (incluido Ripper)</v>
          </cell>
        </row>
        <row r="15">
          <cell r="A15" t="str">
            <v>Calentador a gas</v>
          </cell>
        </row>
        <row r="16">
          <cell r="A16" t="str">
            <v>Camion 350</v>
          </cell>
        </row>
        <row r="17">
          <cell r="A17" t="str">
            <v>Camioneta D-300</v>
          </cell>
        </row>
        <row r="18">
          <cell r="A18" t="str">
            <v>Camión de Slurry</v>
          </cell>
        </row>
        <row r="19">
          <cell r="A19" t="str">
            <v>Cargador 920 o equivalente</v>
          </cell>
        </row>
        <row r="20">
          <cell r="A20" t="str">
            <v>Cargador 930 o equivalente</v>
          </cell>
        </row>
        <row r="21">
          <cell r="A21" t="str">
            <v>Carrotanque de agua (10000 galones)</v>
          </cell>
        </row>
        <row r="22">
          <cell r="A22" t="str">
            <v>Carrotanque Irrigador de asfalto</v>
          </cell>
        </row>
        <row r="23">
          <cell r="A23" t="str">
            <v>Cizalla</v>
          </cell>
        </row>
        <row r="24">
          <cell r="A24" t="str">
            <v>Compactador Benitin</v>
          </cell>
        </row>
        <row r="25">
          <cell r="A25" t="str">
            <v>Compactador manual (RANA)</v>
          </cell>
        </row>
        <row r="26">
          <cell r="A26" t="str">
            <v>Compactador manual (SALTARIN)</v>
          </cell>
        </row>
        <row r="27">
          <cell r="A27" t="str">
            <v>Compactador manual de rodillo</v>
          </cell>
        </row>
        <row r="28">
          <cell r="A28" t="str">
            <v>Compactador vibratorio tipo DD-20</v>
          </cell>
        </row>
        <row r="29">
          <cell r="A29" t="str">
            <v>Compactador manual vibratorio (CANGURO) (Apisonadores)</v>
          </cell>
        </row>
        <row r="30">
          <cell r="A30" t="str">
            <v>Compactador neumatico</v>
          </cell>
        </row>
        <row r="31">
          <cell r="A31" t="str">
            <v>Compresor 125 pies 3 con martillo</v>
          </cell>
        </row>
        <row r="32">
          <cell r="A32" t="str">
            <v>Compresor 250 pies 3 con martillo</v>
          </cell>
        </row>
        <row r="33">
          <cell r="A33" t="str">
            <v>Compresor (barrido y soplado)</v>
          </cell>
        </row>
        <row r="34">
          <cell r="A34" t="str">
            <v>Compresor para penetrar roca</v>
          </cell>
        </row>
        <row r="35">
          <cell r="A35" t="str">
            <v>Cortadora de pavimento</v>
          </cell>
        </row>
        <row r="36">
          <cell r="A36" t="str">
            <v>Diferencial de 2 ton.</v>
          </cell>
        </row>
        <row r="37">
          <cell r="A37" t="str">
            <v>Diferencial de 3 ton</v>
          </cell>
        </row>
        <row r="38">
          <cell r="A38" t="str">
            <v>Equipo de control (bandas sonoras reduce velocidad) (Termohigometros, Termómetros, Galgas, etc)</v>
          </cell>
        </row>
        <row r="39">
          <cell r="A39" t="str">
            <v>Equipo de oxicorte</v>
          </cell>
        </row>
        <row r="40">
          <cell r="A40" t="str">
            <v>Equipo de perforación (TRACKDRILL)</v>
          </cell>
        </row>
        <row r="41">
          <cell r="A41" t="str">
            <v>Equipo de pintura (Compresor)</v>
          </cell>
        </row>
        <row r="42">
          <cell r="A42" t="str">
            <v>Equipo de soldadura 250 AMP</v>
          </cell>
        </row>
        <row r="43">
          <cell r="A43" t="str">
            <v>euipo de soldadura 400</v>
          </cell>
        </row>
        <row r="44">
          <cell r="A44" t="str">
            <v>euipo de soldadura 600</v>
          </cell>
        </row>
        <row r="45">
          <cell r="A45" t="str">
            <v>Equipo de topografía</v>
          </cell>
        </row>
        <row r="46">
          <cell r="A46" t="str">
            <v>Equipo manual aplicador (bandas sonoras reduce velocidad)</v>
          </cell>
        </row>
        <row r="47">
          <cell r="A47" t="str">
            <v>Esparcidor de gravilla (INCLUYE VOLQUETA)</v>
          </cell>
        </row>
        <row r="48">
          <cell r="A48" t="str">
            <v>Estación</v>
          </cell>
        </row>
        <row r="49">
          <cell r="A49" t="str">
            <v>Formaleta metálica (concreto hidraulico)</v>
          </cell>
        </row>
        <row r="50">
          <cell r="A50" t="str">
            <v>Formaleta metálica (tuberia de concreto reforzado)</v>
          </cell>
        </row>
        <row r="51">
          <cell r="A51" t="str">
            <v>Formaleta para camisa de pilote</v>
          </cell>
        </row>
        <row r="52">
          <cell r="A52" t="str">
            <v>Fresadora de pavimento</v>
          </cell>
        </row>
        <row r="53">
          <cell r="A53" t="str">
            <v>Fresadora y recicladora de pavimento</v>
          </cell>
        </row>
        <row r="54">
          <cell r="A54" t="str">
            <v>Gato para tensionamiento</v>
          </cell>
        </row>
        <row r="55">
          <cell r="A55" t="str">
            <v>Grua 10 ton</v>
          </cell>
        </row>
        <row r="56">
          <cell r="A56" t="str">
            <v>Grua (capacidad 15 ton)</v>
          </cell>
        </row>
        <row r="57">
          <cell r="A57" t="str">
            <v>Grua con torre</v>
          </cell>
        </row>
        <row r="58">
          <cell r="A58" t="str">
            <v>Grua telescópica</v>
          </cell>
        </row>
        <row r="59">
          <cell r="A59" t="str">
            <v>Guadañadora</v>
          </cell>
        </row>
        <row r="60">
          <cell r="A60" t="str">
            <v>Maquina térmica pegatachas</v>
          </cell>
        </row>
        <row r="61">
          <cell r="A61" t="str">
            <v>Mezcladora de concreto (1bulto)</v>
          </cell>
        </row>
        <row r="62">
          <cell r="A62" t="str">
            <v>Montacargas</v>
          </cell>
        </row>
        <row r="63">
          <cell r="A63" t="str">
            <v>Motobomba 3 PULGADAS</v>
          </cell>
        </row>
        <row r="64">
          <cell r="A64" t="str">
            <v>Motobomba 4 PULGADAS</v>
          </cell>
        </row>
        <row r="65">
          <cell r="A65" t="str">
            <v>Motobomba 6" DIAMETRO DE BOMBEO DE 2M³/SEG.</v>
          </cell>
        </row>
        <row r="66">
          <cell r="A66" t="str">
            <v>Motobomba de concreto</v>
          </cell>
        </row>
        <row r="67">
          <cell r="A67" t="str">
            <v>Motoniveladora</v>
          </cell>
        </row>
        <row r="68">
          <cell r="A68" t="str">
            <v>Motosierra</v>
          </cell>
        </row>
        <row r="69">
          <cell r="A69" t="str">
            <v>Pala auxiliar de piloteadora</v>
          </cell>
        </row>
        <row r="70">
          <cell r="A70" t="str">
            <v>Pala grua con martillos</v>
          </cell>
        </row>
        <row r="71">
          <cell r="A71" t="str">
            <v>Piloteadora</v>
          </cell>
        </row>
        <row r="72">
          <cell r="A72" t="str">
            <v>Planta de asfalto en caliente</v>
          </cell>
        </row>
        <row r="73">
          <cell r="A73" t="str">
            <v>Planta de asfalto en frio</v>
          </cell>
        </row>
        <row r="74">
          <cell r="A74" t="str">
            <v xml:space="preserve">Planta eléctrica </v>
          </cell>
        </row>
        <row r="75">
          <cell r="A75" t="str">
            <v>Planta trituradora</v>
          </cell>
        </row>
        <row r="76">
          <cell r="A76" t="str">
            <v>Pluma capacidad 100 kg</v>
          </cell>
        </row>
        <row r="77">
          <cell r="A77" t="str">
            <v>Pulidora (8500 REV)</v>
          </cell>
        </row>
        <row r="78">
          <cell r="A78" t="str">
            <v>Pulvimixer</v>
          </cell>
        </row>
        <row r="79">
          <cell r="A79" t="str">
            <v>Regla vibratoria L=3m</v>
          </cell>
        </row>
        <row r="80">
          <cell r="A80" t="str">
            <v>Recicladora</v>
          </cell>
        </row>
        <row r="81">
          <cell r="A81" t="str">
            <v>Retrocargador</v>
          </cell>
        </row>
        <row r="82">
          <cell r="A82" t="str">
            <v>Retroexcavadora CAT 320</v>
          </cell>
        </row>
        <row r="83">
          <cell r="A83" t="str">
            <v xml:space="preserve">Retrocargador CAT 510 </v>
          </cell>
        </row>
        <row r="84">
          <cell r="A84" t="str">
            <v>Retroexcavadora A25C</v>
          </cell>
        </row>
        <row r="85">
          <cell r="A85" t="str">
            <v>Retroexcavadora E-200 sobre orugas</v>
          </cell>
        </row>
        <row r="86">
          <cell r="A86" t="str">
            <v>Retroexcavadora E-200 sobre orugas trabajo en rio</v>
          </cell>
        </row>
        <row r="87">
          <cell r="A87" t="str">
            <v>Retroexcavadora E-200 con martillo neumatico</v>
          </cell>
        </row>
        <row r="88">
          <cell r="A88" t="str">
            <v>Retroexcavadora 428 doble trasmición</v>
          </cell>
        </row>
        <row r="89">
          <cell r="A89" t="str">
            <v>Retroexcavadora sobre llantas JD 410</v>
          </cell>
        </row>
        <row r="90">
          <cell r="A90" t="str">
            <v>Taco metálico o puntal (escamas en concreto)</v>
          </cell>
        </row>
        <row r="91">
          <cell r="A91" t="str">
            <v>Tarifa de transporte</v>
          </cell>
        </row>
        <row r="92">
          <cell r="A92" t="str">
            <v>Tarifa de transporte para  mezclas</v>
          </cell>
        </row>
        <row r="93">
          <cell r="A93" t="str">
            <v xml:space="preserve">Tarifa de transporte de mezclas para bacheo </v>
          </cell>
        </row>
        <row r="94">
          <cell r="A94" t="str">
            <v>Tarifa de transporte de estructuras metálicas en obra</v>
          </cell>
        </row>
        <row r="95">
          <cell r="A95" t="str">
            <v xml:space="preserve">Tarifa de transporte de estructuras metálicas </v>
          </cell>
        </row>
        <row r="96">
          <cell r="A96" t="str">
            <v>Terminadora de asfalto (Finisher)</v>
          </cell>
        </row>
        <row r="97">
          <cell r="A97" t="str">
            <v>Vehiculo delineador</v>
          </cell>
        </row>
        <row r="98">
          <cell r="A98" t="str">
            <v>Vibrador de concreto</v>
          </cell>
        </row>
        <row r="99">
          <cell r="A99" t="str">
            <v>Vibrocompatador Dynapac (10 ton)</v>
          </cell>
        </row>
        <row r="100">
          <cell r="A100" t="str">
            <v>Vibrocompatador Dynapac C15</v>
          </cell>
        </row>
        <row r="101">
          <cell r="A101" t="str">
            <v>Volqueta 6 m3</v>
          </cell>
        </row>
        <row r="102">
          <cell r="A102" t="str">
            <v>Equipo de sandblasting</v>
          </cell>
        </row>
        <row r="103">
          <cell r="A103" t="str">
            <v>Taladro</v>
          </cell>
        </row>
        <row r="104">
          <cell r="A104" t="str">
            <v>dispensador neumatico hit-p500</v>
          </cell>
        </row>
        <row r="106">
          <cell r="A106" t="str">
            <v>Camisa</v>
          </cell>
        </row>
      </sheetData>
      <sheetData sheetId="1" refreshError="1">
        <row r="7">
          <cell r="A7" t="str">
            <v>Acero A-36 para estructura metalica</v>
          </cell>
        </row>
        <row r="8">
          <cell r="A8" t="str">
            <v>Acero A-37</v>
          </cell>
        </row>
        <row r="9">
          <cell r="A9" t="str">
            <v>Acero A-40</v>
          </cell>
        </row>
        <row r="10">
          <cell r="A10" t="str">
            <v>Acero PDR-60</v>
          </cell>
        </row>
        <row r="11">
          <cell r="A11" t="str">
            <v>Adoquin e=7cm (en obra)</v>
          </cell>
        </row>
        <row r="12">
          <cell r="A12" t="str">
            <v>Adoquin grama 10X20X6 (en obra)</v>
          </cell>
        </row>
        <row r="13">
          <cell r="A13" t="str">
            <v>Adoquin color 10X20X6  (en obra)</v>
          </cell>
        </row>
        <row r="14">
          <cell r="A14" t="str">
            <v>Agregado para concreto hidraulico</v>
          </cell>
        </row>
        <row r="15">
          <cell r="A15" t="str">
            <v>Agregado para tratamiento superf. Doble</v>
          </cell>
        </row>
        <row r="16">
          <cell r="A16" t="str">
            <v>Agregado para tratamiento superf. Simple</v>
          </cell>
        </row>
        <row r="17">
          <cell r="A17" t="str">
            <v>Agregado petreo para mezclas asfálticas</v>
          </cell>
        </row>
        <row r="18">
          <cell r="A18" t="str">
            <v>Agregado petreo para triturar (crudo)</v>
          </cell>
        </row>
        <row r="19">
          <cell r="A19" t="str">
            <v>Agregados seleccionados (tamaño máximo 1") (bandas sonoras reduce velocidad)</v>
          </cell>
        </row>
        <row r="20">
          <cell r="A20" t="str">
            <v>Agregado tipo LA1 (lechadas)</v>
          </cell>
        </row>
        <row r="21">
          <cell r="A21" t="str">
            <v>Agregado tipo LA2 (lechadas)</v>
          </cell>
        </row>
        <row r="22">
          <cell r="A22" t="str">
            <v>Agregado tipo LA3 (lechadas)</v>
          </cell>
        </row>
        <row r="23">
          <cell r="A23" t="str">
            <v>Agregado tipo LA4 (lechadas)</v>
          </cell>
        </row>
        <row r="24">
          <cell r="A24" t="str">
            <v>Agua</v>
          </cell>
        </row>
        <row r="25">
          <cell r="A25" t="str">
            <v>Alambre de pua calibre 12 (340 m)</v>
          </cell>
        </row>
        <row r="26">
          <cell r="A26" t="str">
            <v>Alambre galvanizado No. 12</v>
          </cell>
        </row>
        <row r="27">
          <cell r="A27" t="str">
            <v>Alambre negro para amarre</v>
          </cell>
        </row>
        <row r="28">
          <cell r="A28" t="str">
            <v>Almohadillas de neopreno dureza 60 (35cm*45cm*5cm con 2 laminas de 3mm)</v>
          </cell>
        </row>
        <row r="29">
          <cell r="A29" t="str">
            <v>Amortiguadores</v>
          </cell>
        </row>
        <row r="30">
          <cell r="A30" t="str">
            <v>Aditivo (Retardante plastificante redutor de fraguado) (sikament 320)</v>
          </cell>
        </row>
        <row r="31">
          <cell r="A31" t="str">
            <v>Aditivo (Acelerante plastificante para concretos (plastocrete 169 HE)</v>
          </cell>
        </row>
        <row r="32">
          <cell r="A32" t="str">
            <v>Anfo</v>
          </cell>
        </row>
        <row r="33">
          <cell r="A33" t="str">
            <v>Angulo de 1-1/2" x 1/4" (cerramiento en malla)</v>
          </cell>
        </row>
        <row r="34">
          <cell r="A34" t="str">
            <v>Antisol blanco (presentacion 20 kg)</v>
          </cell>
        </row>
        <row r="35">
          <cell r="A35" t="str">
            <v>Arbol de 1.2 m</v>
          </cell>
        </row>
        <row r="36">
          <cell r="A36" t="str">
            <v>Arbol de 0.6 m</v>
          </cell>
        </row>
        <row r="37">
          <cell r="A37" t="str">
            <v>Arena de sello (fina)</v>
          </cell>
        </row>
        <row r="38">
          <cell r="A38" t="str">
            <v>Arena de soporte (media)</v>
          </cell>
        </row>
        <row r="39">
          <cell r="A39" t="str">
            <v>Arena de trituracion (sellos de arena-afalto)</v>
          </cell>
        </row>
        <row r="40">
          <cell r="A40" t="str">
            <v>Arena lavada</v>
          </cell>
        </row>
        <row r="41">
          <cell r="A41" t="str">
            <v>Asfalto AP 190 (BREA)</v>
          </cell>
        </row>
        <row r="42">
          <cell r="A42" t="str">
            <v>Asfalto liquido RC 250</v>
          </cell>
        </row>
        <row r="43">
          <cell r="A43" t="str">
            <v>Barras de transferencia de carga</v>
          </cell>
        </row>
        <row r="44">
          <cell r="A44" t="str">
            <v>Barras de unión de 1/2"</v>
          </cell>
        </row>
        <row r="45">
          <cell r="A45" t="str">
            <v>Bentonita</v>
          </cell>
        </row>
        <row r="46">
          <cell r="A46" t="str">
            <v>Biomanto</v>
          </cell>
        </row>
        <row r="47">
          <cell r="A47" t="str">
            <v>Bolsacreto de 1m3</v>
          </cell>
        </row>
        <row r="48">
          <cell r="A48" t="str">
            <v>Cal</v>
          </cell>
        </row>
        <row r="49">
          <cell r="A49" t="str">
            <v>Cable de 1/2" (para anclajes)</v>
          </cell>
        </row>
        <row r="50">
          <cell r="A50" t="str">
            <v>Camisa metálica en acero A-37</v>
          </cell>
        </row>
        <row r="51">
          <cell r="A51" t="str">
            <v>Camisas y Formaleta en Concreto</v>
          </cell>
        </row>
        <row r="52">
          <cell r="A52" t="str">
            <v>Captafaro</v>
          </cell>
        </row>
        <row r="53">
          <cell r="A53" t="str">
            <v>Cemento Asfaltico 60-70</v>
          </cell>
        </row>
        <row r="54">
          <cell r="A54" t="str">
            <v>Cemento Asfaltico 80-100</v>
          </cell>
        </row>
        <row r="55">
          <cell r="A55" t="str">
            <v>Cemento asfaltico modificado con polimeros tipo I</v>
          </cell>
        </row>
        <row r="56">
          <cell r="A56" t="str">
            <v>Cemento asfaltico modificado con polimeros tipo II</v>
          </cell>
        </row>
        <row r="57">
          <cell r="A57" t="str">
            <v>Cemento asfaltico modificado con polimeros tipo III</v>
          </cell>
        </row>
        <row r="58">
          <cell r="A58" t="str">
            <v>Cemento asfaltico modificado con polimeros tipo IV</v>
          </cell>
        </row>
        <row r="59">
          <cell r="A59" t="str">
            <v>Cemento gris</v>
          </cell>
        </row>
        <row r="60">
          <cell r="A60" t="str">
            <v>Cespedones</v>
          </cell>
        </row>
        <row r="61">
          <cell r="A61" t="str">
            <v>Cicatrizante (para remoción de especies vegetales)</v>
          </cell>
        </row>
        <row r="62">
          <cell r="A62" t="str">
            <v>Cintilla de poliuretano (sikarod)</v>
          </cell>
        </row>
        <row r="63">
          <cell r="A63" t="str">
            <v>Cinta Sika PVC 0,22</v>
          </cell>
        </row>
        <row r="64">
          <cell r="A64" t="str">
            <v>Concreto clase A</v>
          </cell>
        </row>
        <row r="65">
          <cell r="A65" t="str">
            <v>Concreto clase B</v>
          </cell>
        </row>
        <row r="66">
          <cell r="A66" t="str">
            <v>Concreto clase  C</v>
          </cell>
        </row>
        <row r="67">
          <cell r="A67" t="str">
            <v>Concreto clase D (tremie)</v>
          </cell>
        </row>
        <row r="68">
          <cell r="A68" t="str">
            <v>Concreto hidraulico para pavimento MR-43</v>
          </cell>
        </row>
        <row r="69">
          <cell r="A69" t="str">
            <v>Concreto hidraulico para pavimento MR-43 (FastracK)(acelerado a 24 horas)</v>
          </cell>
        </row>
        <row r="70">
          <cell r="A70" t="str">
            <v>Cordón detonante</v>
          </cell>
        </row>
        <row r="71">
          <cell r="A71" t="str">
            <v>Costal de fibra o fique</v>
          </cell>
        </row>
        <row r="72">
          <cell r="A72" t="str">
            <v>Cuñas para el tensionamiento</v>
          </cell>
        </row>
        <row r="73">
          <cell r="A73" t="str">
            <v>Derechos de explotación y o disposición de materiales</v>
          </cell>
        </row>
        <row r="74">
          <cell r="A74" t="str">
            <v xml:space="preserve">Disposición de material de derrumbe </v>
          </cell>
        </row>
        <row r="75">
          <cell r="A75" t="str">
            <v>Disolvente para pintura (especificar el tipo de disolvente que está utilizando) thiner</v>
          </cell>
        </row>
        <row r="76">
          <cell r="A76" t="str">
            <v>Disolvente para pintura (especificar el tipo de disolvente que está utilizando) varsol</v>
          </cell>
        </row>
        <row r="77">
          <cell r="A77" t="str">
            <v>Ductos para tensionimiento</v>
          </cell>
        </row>
        <row r="78">
          <cell r="A78" t="str">
            <v>Emulsión CRM</v>
          </cell>
        </row>
        <row r="79">
          <cell r="A79" t="str">
            <v>Emulsión modificada con polimeros CRMm</v>
          </cell>
        </row>
        <row r="80">
          <cell r="A80" t="str">
            <v>Emulsión CRL-0</v>
          </cell>
        </row>
        <row r="81">
          <cell r="A81" t="str">
            <v>Emulsión CRL-1</v>
          </cell>
        </row>
        <row r="82">
          <cell r="A82" t="str">
            <v>Emulsión CRL-1h</v>
          </cell>
        </row>
        <row r="83">
          <cell r="A83" t="str">
            <v>Emulsión CRL-1hm</v>
          </cell>
        </row>
        <row r="84">
          <cell r="A84" t="str">
            <v>Emulsión CRR-1</v>
          </cell>
        </row>
        <row r="85">
          <cell r="A85" t="str">
            <v>Emulsión CRR-2</v>
          </cell>
        </row>
        <row r="86">
          <cell r="A86" t="str">
            <v>Emulsión CRR-1m</v>
          </cell>
        </row>
        <row r="87">
          <cell r="A87" t="str">
            <v>Emulsión CRR-2m</v>
          </cell>
        </row>
        <row r="88">
          <cell r="A88" t="str">
            <v>Esferas reflectivas</v>
          </cell>
        </row>
        <row r="89">
          <cell r="A89" t="str">
            <v>Estacas, Pintura, Tachuelas, Hilo (localización de estructuras y carreteras)</v>
          </cell>
        </row>
        <row r="90">
          <cell r="A90" t="str">
            <v>Explosivos  75% (INDUGEL)</v>
          </cell>
        </row>
        <row r="91">
          <cell r="A91" t="str">
            <v>Formaleta (gaviones, juntas de bordillos, juntas de cunetas, muros, concretos clase D,E, F y G)</v>
          </cell>
        </row>
        <row r="92">
          <cell r="A92" t="str">
            <v>Formaleta concreto clase A,B y C</v>
          </cell>
        </row>
        <row r="93">
          <cell r="A93" t="str">
            <v>Formaleta para baranda de concreto</v>
          </cell>
        </row>
        <row r="94">
          <cell r="A94" t="str">
            <v>Formaleta para muros</v>
          </cell>
        </row>
        <row r="95">
          <cell r="A95" t="str">
            <v>Formaleta, platina y accesorios (escamas en concreto)</v>
          </cell>
        </row>
        <row r="96">
          <cell r="A96" t="str">
            <v>Fulminantes</v>
          </cell>
        </row>
        <row r="97">
          <cell r="A97" t="str">
            <v>Fundente</v>
          </cell>
        </row>
        <row r="98">
          <cell r="A98" t="str">
            <v>Gas propano</v>
          </cell>
        </row>
        <row r="99">
          <cell r="A99" t="str">
            <v>Geoterxtil T-2400 o similar (provedores Lafayet, Tensar, Omnes u otros)</v>
          </cell>
        </row>
        <row r="100">
          <cell r="A100" t="str">
            <v>Geotextil NT-2500 o similar (provedores, Tensar, Omnes u otros)</v>
          </cell>
        </row>
        <row r="101">
          <cell r="A101" t="str">
            <v>Geotextil NT REPAV 450 o similar (provedores Lafayet, Tensar, Omnes u otros)</v>
          </cell>
        </row>
        <row r="102">
          <cell r="A102" t="str">
            <v>Geotextil T-2100 o similar (provedores Lafayet, Tensar, Omnes u otros)</v>
          </cell>
        </row>
        <row r="103">
          <cell r="A103" t="str">
            <v>Grapas</v>
          </cell>
        </row>
        <row r="104">
          <cell r="A104" t="str">
            <v>Lechada para ductos (tensionamiento)</v>
          </cell>
        </row>
        <row r="105">
          <cell r="A105" t="str">
            <v>Limpiador 1/4 de galón (anclajes)</v>
          </cell>
        </row>
        <row r="106">
          <cell r="A106" t="str">
            <v>Listón en guadua para empradizar</v>
          </cell>
        </row>
        <row r="107">
          <cell r="A107" t="str">
            <v>Manguera de polietileno de 3"</v>
          </cell>
        </row>
        <row r="108">
          <cell r="A108" t="str">
            <v>Malla para gaviones (2M3)</v>
          </cell>
        </row>
        <row r="109">
          <cell r="A109" t="str">
            <v>Malla eslabonada, calibre 10, 6 ojos</v>
          </cell>
        </row>
        <row r="110">
          <cell r="A110" t="str">
            <v>Material de afirmado</v>
          </cell>
        </row>
        <row r="111">
          <cell r="A111" t="str">
            <v>Material de afirmado de la zona</v>
          </cell>
        </row>
        <row r="112">
          <cell r="A112" t="str">
            <v>Material de base</v>
          </cell>
        </row>
        <row r="113">
          <cell r="A113" t="str">
            <v>Material de la zona (para estabilizar bases)</v>
          </cell>
        </row>
        <row r="114">
          <cell r="A114" t="str">
            <v>Material de base (gradación 1)</v>
          </cell>
        </row>
        <row r="115">
          <cell r="A115" t="str">
            <v>Material de base (gradación 2)</v>
          </cell>
        </row>
        <row r="116">
          <cell r="A116" t="str">
            <v>Material de base (gradación 3)</v>
          </cell>
        </row>
        <row r="117">
          <cell r="A117" t="str">
            <v>Material para pedraplén</v>
          </cell>
        </row>
        <row r="118">
          <cell r="A118" t="str">
            <v>Material de Sub- Base para bacheo</v>
          </cell>
        </row>
        <row r="119">
          <cell r="A119" t="str">
            <v>Material de Sub- Base CBR=20%</v>
          </cell>
        </row>
        <row r="120">
          <cell r="A120" t="str">
            <v>Material de Sub- Base CBR=30%</v>
          </cell>
        </row>
        <row r="121">
          <cell r="A121" t="str">
            <v>Material de Sub- Base CBR=40%</v>
          </cell>
        </row>
        <row r="122">
          <cell r="A122" t="str">
            <v>Material seleccionado del Relleno</v>
          </cell>
        </row>
        <row r="123">
          <cell r="A123" t="str">
            <v>Material drenante (3")</v>
          </cell>
        </row>
        <row r="124">
          <cell r="A124" t="str">
            <v>Material filtrante (6")</v>
          </cell>
        </row>
        <row r="125">
          <cell r="A125" t="str">
            <v>Mecha Lenta</v>
          </cell>
        </row>
        <row r="126">
          <cell r="A126" t="str">
            <v>Mezcla abierta en caliente MAC-1</v>
          </cell>
        </row>
        <row r="127">
          <cell r="A127" t="str">
            <v>Mezcla abierta en caliente MAC-2</v>
          </cell>
        </row>
        <row r="128">
          <cell r="A128" t="str">
            <v>Mezcla abierta en caliente MAC-3</v>
          </cell>
        </row>
        <row r="129">
          <cell r="A129" t="str">
            <v>mezcla abierta en frio MAF-1</v>
          </cell>
        </row>
        <row r="130">
          <cell r="A130" t="str">
            <v>mezcla abierta en frio MAF-2</v>
          </cell>
        </row>
        <row r="131">
          <cell r="A131" t="str">
            <v>mezcla abierta en frio MAF-3</v>
          </cell>
        </row>
        <row r="132">
          <cell r="A132" t="str">
            <v>Mezcla densa en caliente MDC-0</v>
          </cell>
        </row>
        <row r="133">
          <cell r="A133" t="str">
            <v>Mezcla densa en caliente MDC-1</v>
          </cell>
        </row>
        <row r="134">
          <cell r="A134" t="str">
            <v>Mezcla densa en caliente MDC-2</v>
          </cell>
        </row>
        <row r="135">
          <cell r="A135" t="str">
            <v>Mezcla densa en caliente MDC-3</v>
          </cell>
        </row>
        <row r="136">
          <cell r="A136" t="str">
            <v>Mezcla densa en frio MDF-1</v>
          </cell>
        </row>
        <row r="137">
          <cell r="A137" t="str">
            <v>Mezcla densa en frio MDF-2</v>
          </cell>
        </row>
        <row r="138">
          <cell r="A138" t="str">
            <v>Mezcla densa en frio MDF-3</v>
          </cell>
        </row>
        <row r="139">
          <cell r="A139" t="str">
            <v>Mezcla discontinua en caliente M-1</v>
          </cell>
        </row>
        <row r="140">
          <cell r="A140" t="str">
            <v>Mezcla discontinua en caliente M-2</v>
          </cell>
        </row>
        <row r="141">
          <cell r="A141" t="str">
            <v>Mezcla discontinua en caliente F-1</v>
          </cell>
        </row>
        <row r="142">
          <cell r="A142" t="str">
            <v>Mezcla discontinua en caliente F-2</v>
          </cell>
        </row>
        <row r="143">
          <cell r="A143" t="str">
            <v>Nutrientes (para remoción de especies vegetales) (dap, triple 15 o similar) (item 201.9)</v>
          </cell>
        </row>
        <row r="144">
          <cell r="A144" t="str">
            <v>Obra falsa concreto clase A, B Y C (puntal de 3m metálico)</v>
          </cell>
        </row>
        <row r="145">
          <cell r="A145" t="str">
            <v>Oxigeno industrial</v>
          </cell>
        </row>
        <row r="146">
          <cell r="A146" t="str">
            <v>Paral en madera rolliza de 3" (tablestacados)</v>
          </cell>
        </row>
        <row r="147">
          <cell r="A147" t="str">
            <v>Paral en madera rolliza de 6" y 5m de longitud (tablestacados)</v>
          </cell>
        </row>
        <row r="148">
          <cell r="A148" t="str">
            <v>Paral en madera rolliza de 5" y 4,5m de longitud (tablestacados)</v>
          </cell>
        </row>
        <row r="149">
          <cell r="A149" t="str">
            <v>Paral en madera rolliza de 6" y 8m de longitud (tablestacados)</v>
          </cell>
        </row>
        <row r="150">
          <cell r="A150" t="str">
            <v>Pegante epóxico</v>
          </cell>
        </row>
        <row r="151">
          <cell r="A151" t="str">
            <v>Piedra para concreto ciclópeo (rajón o canto rodado)</v>
          </cell>
        </row>
        <row r="152">
          <cell r="A152" t="str">
            <v>Piedra para gavión</v>
          </cell>
        </row>
        <row r="153">
          <cell r="A153" t="str">
            <v>Pintura acrilica pura para tráfico</v>
          </cell>
        </row>
        <row r="154">
          <cell r="A154" t="str">
            <v>Pintura anticorrosiva</v>
          </cell>
        </row>
        <row r="155">
          <cell r="A155" t="str">
            <v xml:space="preserve">Pintura acrilica, esmalte o similar </v>
          </cell>
        </row>
        <row r="156">
          <cell r="A156" t="str">
            <v>Pilote en madera barbosco de 15*15</v>
          </cell>
        </row>
        <row r="157">
          <cell r="A157" t="str">
            <v>Platina de 1" x 1/4" (cerramiento en malla)</v>
          </cell>
        </row>
        <row r="158">
          <cell r="A158" t="str">
            <v xml:space="preserve">Poste de madera para cercas </v>
          </cell>
        </row>
        <row r="159">
          <cell r="A159" t="str">
            <v>Poste kilometraje</v>
          </cell>
        </row>
        <row r="160">
          <cell r="A160" t="str">
            <v>Poste en angulo de 2*2*1/4 de 3,5m para señal</v>
          </cell>
        </row>
        <row r="161">
          <cell r="A161" t="str">
            <v>Postes de concreto para cercas</v>
          </cell>
        </row>
        <row r="162">
          <cell r="A162" t="str">
            <v>Postes para defensa metálica (1,80m)</v>
          </cell>
        </row>
        <row r="163">
          <cell r="A163" t="str">
            <v>Quimico estabilizante (PROBASE)</v>
          </cell>
        </row>
        <row r="164">
          <cell r="A164" t="str">
            <v xml:space="preserve">Resina termoplastica </v>
          </cell>
        </row>
        <row r="165">
          <cell r="A165" t="str">
            <v>Salida en PVC D=2"</v>
          </cell>
        </row>
        <row r="166">
          <cell r="A166" t="str">
            <v>Sección final de defensa metálica</v>
          </cell>
        </row>
        <row r="167">
          <cell r="A167" t="str">
            <v>Sello de silicona o sellador autonivelante</v>
          </cell>
        </row>
        <row r="168">
          <cell r="A168" t="str">
            <v>Semillas para empradizar</v>
          </cell>
        </row>
        <row r="169">
          <cell r="A169" t="str">
            <v xml:space="preserve">Señal (grupo 2). Tablero en lámina galvanizado de 1,2m*0,4m, calibre 16, reflectivo tipo 1. </v>
          </cell>
        </row>
        <row r="170">
          <cell r="A170" t="str">
            <v>Señal (grupo 1). Tablero en lámina galvanizada de 75cm*75cm, calibre 16, reflectivo tipo 1</v>
          </cell>
        </row>
        <row r="171">
          <cell r="A171" t="str">
            <v xml:space="preserve">Señal (grupo 5). Tablero en lámina galvanizado de 0,90m*1,13m, calibre 16, reflectivo tipo 1. </v>
          </cell>
        </row>
        <row r="172">
          <cell r="A172" t="str">
            <v>Señal (grupo 4). Tablero en lámina galvanizado de 60cm*75cm, calibre 16, reflectivo tipo 1. (delineador de curva horizontal)</v>
          </cell>
        </row>
        <row r="173">
          <cell r="A173" t="str">
            <v xml:space="preserve">Señal (grupo 3 ferrocarril) (SP-54). Tablero en lámina galvanizado de 2,4m*0,3m, calibre 16, reflectivo tipo 1. </v>
          </cell>
        </row>
        <row r="174">
          <cell r="A174" t="str">
            <v>Soldadura 6013 de 1/8</v>
          </cell>
        </row>
        <row r="175">
          <cell r="A175" t="str">
            <v>Soldadura en PVC 1/8 de galón (anclajes)</v>
          </cell>
        </row>
        <row r="176">
          <cell r="A176" t="str">
            <v>Soldadura 7018</v>
          </cell>
        </row>
        <row r="177">
          <cell r="A177" t="str">
            <v>Soldadura L-70</v>
          </cell>
        </row>
        <row r="178">
          <cell r="A178" t="str">
            <v>Superplastificante Sikament</v>
          </cell>
        </row>
        <row r="179">
          <cell r="A179" t="str">
            <v>Tablestaca en madera aserrada (0,25*0,05*3)</v>
          </cell>
        </row>
        <row r="180">
          <cell r="A180" t="str">
            <v>Tablestaca en madera aserrada (0,3*0,03*3)</v>
          </cell>
        </row>
        <row r="181">
          <cell r="A181" t="str">
            <v>Tablestaca metálica (riel de 70 lb/yarda)</v>
          </cell>
        </row>
        <row r="182">
          <cell r="A182" t="str">
            <v>Tacha reflectiva</v>
          </cell>
        </row>
        <row r="183">
          <cell r="A183" t="str">
            <v>Tapón en PVC RD21 de 1" (para anclaje)</v>
          </cell>
        </row>
        <row r="184">
          <cell r="A184" t="str">
            <v xml:space="preserve">Tierra abonada </v>
          </cell>
        </row>
        <row r="185">
          <cell r="A185" t="str">
            <v>Tornillos para defensa metálica</v>
          </cell>
        </row>
        <row r="186">
          <cell r="A186" t="str">
            <v>Torón de tensionmiento 1/2" o 5/8"</v>
          </cell>
        </row>
        <row r="187">
          <cell r="A187" t="str">
            <v>Tramo recto para defensas métalicas (3,81m)</v>
          </cell>
        </row>
        <row r="188">
          <cell r="A188" t="str">
            <v>Trompetas de 12 torones (tensionamiento)</v>
          </cell>
        </row>
        <row r="189">
          <cell r="A189" t="str">
            <v>Tubería D=4" tipo pesado, E=2mm (baranda metálica)</v>
          </cell>
        </row>
        <row r="190">
          <cell r="A190" t="str">
            <v>Tubería en H de D=1/4", H=1.40m, A=0.20m (baranda metálica)</v>
          </cell>
        </row>
        <row r="191">
          <cell r="A191" t="str">
            <v>Tuberia Perforada en PVC de 2"</v>
          </cell>
        </row>
        <row r="192">
          <cell r="A192" t="str">
            <v>Tuberia PVC RD21 de 1" (para anclajes)</v>
          </cell>
        </row>
        <row r="193">
          <cell r="A193" t="str">
            <v>Tuberia PVC de 1" (para escamas en concreto)</v>
          </cell>
        </row>
        <row r="194">
          <cell r="A194" t="str">
            <v>Tuberia de 10" PAA vaciado tremi de 4 mts</v>
          </cell>
        </row>
        <row r="195">
          <cell r="A195" t="str">
            <v>Tubo concreto reforzado 900mm (tipo 1)</v>
          </cell>
        </row>
        <row r="196">
          <cell r="A196" t="str">
            <v>Tubo concreto reforzado 900mm (tipo 2)</v>
          </cell>
        </row>
        <row r="197">
          <cell r="A197" t="str">
            <v>Tubo concreto simple 450 mm</v>
          </cell>
        </row>
        <row r="198">
          <cell r="A198" t="str">
            <v>Tubo concreto simple 600 mm</v>
          </cell>
        </row>
        <row r="199">
          <cell r="A199" t="str">
            <v>Tubo concreto simple 750 mm</v>
          </cell>
        </row>
        <row r="200">
          <cell r="A200" t="str">
            <v>Tubo corrugado de acero galvanizado MP-68</v>
          </cell>
        </row>
        <row r="201">
          <cell r="A201" t="str">
            <v>Tubo para cerramiento, calibre 16 de 2,7m (cerramientos en malla)</v>
          </cell>
        </row>
        <row r="202">
          <cell r="A202" t="str">
            <v>Unión en PVC RD21 de 1" (para anclajes)</v>
          </cell>
        </row>
        <row r="203">
          <cell r="A203" t="str">
            <v>Unión en PVC D=2"</v>
          </cell>
        </row>
        <row r="204">
          <cell r="A204" t="str">
            <v>ADOQUIN DE ARCILLA</v>
          </cell>
        </row>
        <row r="205">
          <cell r="A205" t="str">
            <v>tubo concreto simple de 200mm</v>
          </cell>
        </row>
        <row r="206">
          <cell r="A206" t="str">
            <v>Seccion de Tope</v>
          </cell>
        </row>
        <row r="207">
          <cell r="A207" t="str">
            <v>Sikadur 32 primer</v>
          </cell>
        </row>
        <row r="208">
          <cell r="A208" t="str">
            <v>junta elastomerica m100</v>
          </cell>
        </row>
        <row r="209">
          <cell r="A209" t="str">
            <v>oxigeno y acetileno</v>
          </cell>
        </row>
        <row r="210">
          <cell r="A210" t="str">
            <v>disco de diamante</v>
          </cell>
        </row>
        <row r="211">
          <cell r="A211" t="str">
            <v>brocas tugsteno</v>
          </cell>
        </row>
        <row r="212">
          <cell r="A212" t="str">
            <v>perno d=18mm, l=200mm, tuerca y arandela en acero de alta resistencia</v>
          </cell>
        </row>
        <row r="213">
          <cell r="A213" t="str">
            <v>mortero alta resistencia (incluye fibra de nylon)</v>
          </cell>
        </row>
        <row r="214">
          <cell r="A214" t="str">
            <v>epoxico re-500 hil ti</v>
          </cell>
        </row>
        <row r="216">
          <cell r="A216" t="str">
            <v>pintura acrilica base agua</v>
          </cell>
        </row>
        <row r="217">
          <cell r="A217" t="str">
            <v>Estoperol</v>
          </cell>
        </row>
        <row r="218">
          <cell r="A218" t="str">
            <v>malla para colchogaviones</v>
          </cell>
        </row>
        <row r="219">
          <cell r="A219" t="str">
            <v>geotextil separar suelos</v>
          </cell>
        </row>
      </sheetData>
      <sheetData sheetId="2" refreshError="1">
        <row r="6">
          <cell r="A6" t="str">
            <v>ADMINISTRACION</v>
          </cell>
        </row>
        <row r="7">
          <cell r="A7" t="str">
            <v>IMPREVISTOS</v>
          </cell>
        </row>
        <row r="8">
          <cell r="A8" t="str">
            <v>UTILIDAD</v>
          </cell>
        </row>
        <row r="9">
          <cell r="A9" t="str">
            <v>PRESTACIONES</v>
          </cell>
        </row>
        <row r="10">
          <cell r="A10" t="str">
            <v>DISTANCIA ACARREO 1</v>
          </cell>
        </row>
        <row r="11">
          <cell r="A11" t="str">
            <v>DISTANCIA SUMINISTRO (MATERIAL DE LA ZONA)</v>
          </cell>
        </row>
        <row r="12">
          <cell r="A12" t="str">
            <v>DISTANCIA SUMINISTRO</v>
          </cell>
        </row>
        <row r="13">
          <cell r="A13" t="str">
            <v>DISTANCIA SUMINISTRO BASES SUB BASES AFIRMADOS</v>
          </cell>
        </row>
        <row r="14">
          <cell r="A14" t="str">
            <v>DISTANCIA DE SUMINISTRO CONCRETOS</v>
          </cell>
        </row>
        <row r="15">
          <cell r="A15" t="str">
            <v>DISTANCIA DE SUMINISTRO MEZCLAS ASFALTICAS</v>
          </cell>
        </row>
        <row r="16">
          <cell r="A16" t="str">
            <v>DISTANCIA TRANSPORTE ESTRUCTURA METALICA</v>
          </cell>
        </row>
        <row r="17">
          <cell r="A17" t="str">
            <v>CADENERO</v>
          </cell>
        </row>
        <row r="18">
          <cell r="A18" t="str">
            <v>INSPECTOR DE FABRICACION Y MONTAJE</v>
          </cell>
        </row>
        <row r="19">
          <cell r="A19" t="str">
            <v>OBRERO</v>
          </cell>
        </row>
        <row r="20">
          <cell r="A20" t="str">
            <v>OFICIAL</v>
          </cell>
        </row>
        <row r="21">
          <cell r="A21" t="str">
            <v>OFICIAL EXPERTO EN DESMONTAJE</v>
          </cell>
        </row>
        <row r="22">
          <cell r="A22" t="str">
            <v>PALETEROS</v>
          </cell>
        </row>
        <row r="23">
          <cell r="A23" t="str">
            <v>RASTRILLEROS</v>
          </cell>
        </row>
        <row r="24">
          <cell r="A24" t="str">
            <v>SOLDADOR</v>
          </cell>
        </row>
        <row r="25">
          <cell r="A25" t="str">
            <v>TOPOGRAFO</v>
          </cell>
        </row>
        <row r="26">
          <cell r="A26" t="str">
            <v>PINTOR</v>
          </cell>
        </row>
        <row r="28">
          <cell r="A28" t="str">
            <v>3 AYUDANTES</v>
          </cell>
        </row>
        <row r="29">
          <cell r="A29" t="str">
            <v>2 OBREROS</v>
          </cell>
        </row>
        <row r="30">
          <cell r="A30" t="str">
            <v>3 OBREROS</v>
          </cell>
        </row>
        <row r="31">
          <cell r="A31" t="str">
            <v>4 OBREROS</v>
          </cell>
        </row>
        <row r="32">
          <cell r="A32" t="str">
            <v>5 OBREROS</v>
          </cell>
        </row>
        <row r="33">
          <cell r="A33" t="str">
            <v>6 OBREROS</v>
          </cell>
        </row>
        <row r="34">
          <cell r="A34" t="str">
            <v>7 OBREROS</v>
          </cell>
        </row>
        <row r="35">
          <cell r="A35" t="str">
            <v>8 OBREROS</v>
          </cell>
        </row>
        <row r="36">
          <cell r="A36" t="str">
            <v>9 OBREROS</v>
          </cell>
        </row>
        <row r="37">
          <cell r="A37" t="str">
            <v>10 OBREROS</v>
          </cell>
        </row>
        <row r="38">
          <cell r="A38" t="str">
            <v>11 OBREROS</v>
          </cell>
        </row>
        <row r="39">
          <cell r="A39" t="str">
            <v>12 OBREROS</v>
          </cell>
        </row>
        <row r="40">
          <cell r="A40" t="str">
            <v>13 OBREROS</v>
          </cell>
        </row>
        <row r="41">
          <cell r="A41" t="str">
            <v>14 OBREROS</v>
          </cell>
        </row>
        <row r="42">
          <cell r="A42" t="str">
            <v>15 OBREROS</v>
          </cell>
        </row>
        <row r="43">
          <cell r="A43" t="str">
            <v>16 OBREROS</v>
          </cell>
        </row>
        <row r="44">
          <cell r="A44" t="str">
            <v>17 OBREROS</v>
          </cell>
        </row>
        <row r="45">
          <cell r="A45" t="str">
            <v>18 OBREROS</v>
          </cell>
        </row>
        <row r="46">
          <cell r="A46" t="str">
            <v>19 OBREROS</v>
          </cell>
        </row>
        <row r="47">
          <cell r="A47" t="str">
            <v>20 OBREROS</v>
          </cell>
        </row>
        <row r="48">
          <cell r="A48" t="str">
            <v>21 OBREROS</v>
          </cell>
        </row>
        <row r="49">
          <cell r="A49" t="str">
            <v>22 OBREROS</v>
          </cell>
        </row>
        <row r="50">
          <cell r="A50" t="str">
            <v>23 OBREROS</v>
          </cell>
        </row>
        <row r="51">
          <cell r="A51" t="str">
            <v>24 OBREROS</v>
          </cell>
        </row>
        <row r="52">
          <cell r="A52" t="str">
            <v>25 OBREROS</v>
          </cell>
        </row>
        <row r="53">
          <cell r="A53" t="str">
            <v>2 PALETEROS</v>
          </cell>
        </row>
        <row r="54">
          <cell r="A54" t="str">
            <v>CUADRILLA ASFALTEROS (6 obrero, 2 rastrilleros y 1 oficial)</v>
          </cell>
        </row>
        <row r="55">
          <cell r="A55" t="str">
            <v>1 ARMADOR</v>
          </cell>
        </row>
        <row r="56">
          <cell r="A56" t="str">
            <v>1 CORTADOR</v>
          </cell>
        </row>
        <row r="57">
          <cell r="A57" t="str">
            <v>1 AYUDANTE</v>
          </cell>
        </row>
        <row r="58">
          <cell r="A58" t="str">
            <v>1 NIVELETERO</v>
          </cell>
        </row>
        <row r="59">
          <cell r="A59" t="str">
            <v>CUADRILLA PARA BACHEO (6 obreroS, 2 NIVELETEROS y 1 oficial)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"/>
      <sheetName val="materiales"/>
      <sheetName val="otros"/>
      <sheetName val="INDICE"/>
      <sheetName val="311.1P"/>
      <sheetName val="701.2P"/>
      <sheetName val="210.2 OTRA"/>
      <sheetName val="650.5P"/>
      <sheetName val="1p"/>
      <sheetName val="4651p"/>
      <sheetName val="LOCALIZACION ESTRUCTURAS"/>
      <sheetName val="LOCALIZACION CARRETERAS"/>
      <sheetName val="200.1"/>
      <sheetName val="200.2"/>
      <sheetName val="200P ROCERIA"/>
      <sheetName val="201.1"/>
      <sheetName val="201.2"/>
      <sheetName val="201.2 ciclopeo"/>
      <sheetName val="201.2 reforzado"/>
      <sheetName val="201.3"/>
      <sheetName val="201.3P"/>
      <sheetName val="201.4"/>
      <sheetName val="201.8P"/>
      <sheetName val="201.9"/>
      <sheetName val="201.10"/>
      <sheetName val="201.11"/>
      <sheetName val="201.12"/>
      <sheetName val="201.13"/>
      <sheetName val="201.14"/>
      <sheetName val="210.1"/>
      <sheetName val="210.2"/>
      <sheetName val="210.3"/>
      <sheetName val="211"/>
      <sheetName val="220"/>
      <sheetName val="221.1"/>
      <sheetName val="221.2"/>
      <sheetName val="225P"/>
      <sheetName val="230.1"/>
      <sheetName val="230.2"/>
      <sheetName val="310"/>
      <sheetName val="311"/>
      <sheetName val="311P1"/>
      <sheetName val="311P2"/>
      <sheetName val="311P3"/>
      <sheetName val="320.1"/>
      <sheetName val="320.2"/>
      <sheetName val="330.1"/>
      <sheetName val="330.2"/>
      <sheetName val="340.1"/>
      <sheetName val="340.2"/>
      <sheetName val="340.3"/>
      <sheetName val="341.1"/>
      <sheetName val="341.2"/>
      <sheetName val="341.1P"/>
      <sheetName val="410.1"/>
      <sheetName val="410.2"/>
      <sheetName val="411.1"/>
      <sheetName val="411.2"/>
      <sheetName val="411.3"/>
      <sheetName val="465.1"/>
      <sheetName val="414.1"/>
      <sheetName val="414.2"/>
      <sheetName val="414.3"/>
      <sheetName val="414.4"/>
      <sheetName val="415"/>
      <sheetName val="420"/>
      <sheetName val="421.1"/>
      <sheetName val="421.2"/>
      <sheetName val="421.3"/>
      <sheetName val="421.4"/>
      <sheetName val="430.1"/>
      <sheetName val="430.2"/>
      <sheetName val="431.1"/>
      <sheetName val="431.2"/>
      <sheetName val="432"/>
      <sheetName val="433.1"/>
      <sheetName val="433.2"/>
      <sheetName val="433.3"/>
      <sheetName val="433.4"/>
      <sheetName val="433.5"/>
      <sheetName val="433.6"/>
      <sheetName val="433.7"/>
      <sheetName val="433.8"/>
      <sheetName val="440.2PREP VIA "/>
      <sheetName val="440.1PREP VIA"/>
      <sheetName val="440.3PREP VIA  "/>
      <sheetName val="440.4"/>
      <sheetName val="441.1"/>
      <sheetName val="441.1P COMPRADA"/>
      <sheetName val="441.2"/>
      <sheetName val="441.2P COMPRADA"/>
      <sheetName val="441.3"/>
      <sheetName val="441.3P COMPRADA"/>
      <sheetName val="441.4"/>
      <sheetName val="450.1"/>
      <sheetName val="450.1P "/>
      <sheetName val="450.2"/>
      <sheetName val="450.2P"/>
      <sheetName val="450.3"/>
      <sheetName val="450.3P "/>
      <sheetName val="450.5"/>
      <sheetName val="451.1"/>
      <sheetName val="451.1P"/>
      <sheetName val="451.2"/>
      <sheetName val="451.2P"/>
      <sheetName val="451.3"/>
      <sheetName val="451.3P"/>
      <sheetName val="452.1"/>
      <sheetName val="452.1P "/>
      <sheetName val="452.2"/>
      <sheetName val="452.2P "/>
      <sheetName val="452.3"/>
      <sheetName val="452.3P"/>
      <sheetName val="452.4"/>
      <sheetName val="452.4P"/>
      <sheetName val="453"/>
      <sheetName val="460"/>
      <sheetName val="460P"/>
      <sheetName val="461.1"/>
      <sheetName val="461.2"/>
      <sheetName val="462.1P"/>
      <sheetName val="462.2P"/>
      <sheetName val="462.3P"/>
      <sheetName val="462.4P"/>
      <sheetName val="462.5"/>
      <sheetName val="500"/>
      <sheetName val="500P"/>
      <sheetName val="510"/>
      <sheetName val="510P1"/>
      <sheetName val="510P2"/>
      <sheetName val="510P3"/>
      <sheetName val="510P5"/>
      <sheetName val="600.1"/>
      <sheetName val="600.2"/>
      <sheetName val="600.3"/>
      <sheetName val="600.4"/>
      <sheetName val="600.4 P"/>
      <sheetName val="600.5"/>
      <sheetName val="600.5 P"/>
      <sheetName val="610.1"/>
      <sheetName val="610.2"/>
      <sheetName val="620.1"/>
      <sheetName val="620.2"/>
      <sheetName val="620.3"/>
      <sheetName val="620P"/>
      <sheetName val="621.1"/>
      <sheetName val="621.2"/>
      <sheetName val="621.3"/>
      <sheetName val="621.4"/>
      <sheetName val="621.5"/>
      <sheetName val="621.5P"/>
      <sheetName val="621.6"/>
      <sheetName val="621,7"/>
      <sheetName val="622.1"/>
      <sheetName val="622.2"/>
      <sheetName val="622.3"/>
      <sheetName val="622.4"/>
      <sheetName val="622.5"/>
      <sheetName val="630.1"/>
      <sheetName val="630.2"/>
      <sheetName val="630.3"/>
      <sheetName val="630.4"/>
      <sheetName val="630.5"/>
      <sheetName val="630.6"/>
      <sheetName val="630.7"/>
      <sheetName val="630.P"/>
      <sheetName val="631P BOLSACRETO"/>
      <sheetName val="632"/>
      <sheetName val="632P"/>
      <sheetName val="640.1"/>
      <sheetName val="640.2"/>
      <sheetName val="640.3"/>
      <sheetName val="641"/>
      <sheetName val="641P ANCLAJES"/>
      <sheetName val="642.1"/>
      <sheetName val="642.2"/>
      <sheetName val="642P2 JUNTAS"/>
      <sheetName val="642P1 JUNTAS"/>
      <sheetName val="642P3 JUNTAS"/>
      <sheetName val="650.1"/>
      <sheetName val="650.2"/>
      <sheetName val="650.3"/>
      <sheetName val="650.3 OTRO"/>
      <sheetName val="650.4"/>
      <sheetName val="660.1P"/>
      <sheetName val="660.1"/>
      <sheetName val="660.2"/>
      <sheetName val="660.3"/>
      <sheetName val="661 TIPO 1"/>
      <sheetName val="661 TIPO 2"/>
      <sheetName val="661 OTRO"/>
      <sheetName val="662.1"/>
      <sheetName val="662.2"/>
      <sheetName val="670.1P"/>
      <sheetName val="670.2"/>
      <sheetName val="671"/>
      <sheetName val="672"/>
      <sheetName val="673.1"/>
      <sheetName val="673.2"/>
      <sheetName val="673.3"/>
      <sheetName val="673.4"/>
      <sheetName val="674"/>
      <sheetName val="675.1"/>
      <sheetName val="675.2"/>
      <sheetName val="675.3"/>
      <sheetName val="676"/>
      <sheetName val="680.1"/>
      <sheetName val="680.2"/>
      <sheetName val="680.3"/>
      <sheetName val="680P"/>
      <sheetName val="681"/>
      <sheetName val="680.1P"/>
      <sheetName val="682"/>
      <sheetName val="683P"/>
      <sheetName val="674.1"/>
      <sheetName val="700.1"/>
      <sheetName val="700.2"/>
      <sheetName val="700P BANDAS SONORAS "/>
      <sheetName val="701"/>
      <sheetName val="710.1"/>
      <sheetName val="710.2"/>
      <sheetName val="710.3"/>
      <sheetName val="710.4"/>
      <sheetName val="710.5"/>
      <sheetName val="720"/>
      <sheetName val="730.1"/>
      <sheetName val="730.2"/>
      <sheetName val="730.3"/>
      <sheetName val="740"/>
      <sheetName val="800.1"/>
      <sheetName val="800.2"/>
      <sheetName val="800.3"/>
      <sheetName val="800.4"/>
      <sheetName val="800P"/>
      <sheetName val="810.1"/>
      <sheetName val="810.1P"/>
      <sheetName val="810.2"/>
      <sheetName val="815P"/>
      <sheetName val="900.1"/>
      <sheetName val="900.2"/>
      <sheetName val="900.3"/>
      <sheetName val="610P"/>
      <sheetName val="hexapodos"/>
      <sheetName val="Hoja1 (2)"/>
      <sheetName val="Hoja2 (2)"/>
      <sheetName val="Hoja3 (2)"/>
      <sheetName val="Hoja1"/>
      <sheetName val="Hoja2"/>
      <sheetName val="Hoja3"/>
    </sheetNames>
    <sheetDataSet>
      <sheetData sheetId="0" refreshError="1">
        <row r="7">
          <cell r="A7" t="str">
            <v>Aspersor manual</v>
          </cell>
        </row>
        <row r="8">
          <cell r="A8" t="str">
            <v>Barredora mecánica de cepillo</v>
          </cell>
        </row>
        <row r="9">
          <cell r="A9" t="str">
            <v>Bomba de inyección de lechada</v>
          </cell>
        </row>
        <row r="10">
          <cell r="A10" t="str">
            <v>Bomba para gato de tensionamiento</v>
          </cell>
        </row>
        <row r="11">
          <cell r="A11" t="str">
            <v>Bomba de concreto</v>
          </cell>
        </row>
        <row r="12">
          <cell r="A12" t="str">
            <v>Buldozer D4</v>
          </cell>
        </row>
        <row r="13">
          <cell r="A13" t="str">
            <v>Buldozer D6</v>
          </cell>
        </row>
        <row r="14">
          <cell r="A14" t="str">
            <v>Buldozer D8 (incluido Ripper)</v>
          </cell>
        </row>
        <row r="15">
          <cell r="A15" t="str">
            <v>Calentador a gas</v>
          </cell>
        </row>
        <row r="16">
          <cell r="A16" t="str">
            <v>Camion 350</v>
          </cell>
        </row>
        <row r="17">
          <cell r="A17" t="str">
            <v>Camioneta D-300</v>
          </cell>
        </row>
        <row r="18">
          <cell r="A18" t="str">
            <v>Camión de Slurry</v>
          </cell>
        </row>
        <row r="19">
          <cell r="A19" t="str">
            <v>Cargador 920 o equivalente</v>
          </cell>
        </row>
        <row r="20">
          <cell r="A20" t="str">
            <v>Cargador 930 o equivalente</v>
          </cell>
        </row>
        <row r="21">
          <cell r="A21" t="str">
            <v>Carrotanque de agua (10000 galones)</v>
          </cell>
        </row>
        <row r="22">
          <cell r="A22" t="str">
            <v>Carrotanque Irrigador de asfalto</v>
          </cell>
        </row>
        <row r="23">
          <cell r="A23" t="str">
            <v>Cizalla</v>
          </cell>
        </row>
        <row r="24">
          <cell r="A24" t="str">
            <v>Compactador Benitin</v>
          </cell>
        </row>
        <row r="25">
          <cell r="A25" t="str">
            <v>Compactador manual (RANA)</v>
          </cell>
        </row>
        <row r="26">
          <cell r="A26" t="str">
            <v>Compactador manual (SALTARIN)</v>
          </cell>
        </row>
        <row r="27">
          <cell r="A27" t="str">
            <v>Compactador manual de rodillo</v>
          </cell>
        </row>
        <row r="28">
          <cell r="A28" t="str">
            <v>Compactador vibratorio tipo DD-20</v>
          </cell>
        </row>
        <row r="29">
          <cell r="A29" t="str">
            <v>Compactador manual vibratorio (CANGURO) (Apisonadores)</v>
          </cell>
        </row>
        <row r="30">
          <cell r="A30" t="str">
            <v>Compactador neumatico</v>
          </cell>
        </row>
        <row r="31">
          <cell r="A31" t="str">
            <v>Compresor 125 pies 3 con martillo</v>
          </cell>
        </row>
        <row r="32">
          <cell r="A32" t="str">
            <v>Compresor 250 pies 3 con martillo</v>
          </cell>
        </row>
        <row r="33">
          <cell r="A33" t="str">
            <v>Compresor (barrido y soplado)</v>
          </cell>
        </row>
        <row r="34">
          <cell r="A34" t="str">
            <v>Compresor para penetrar roca</v>
          </cell>
        </row>
        <row r="35">
          <cell r="A35" t="str">
            <v>Cortadora de pavimento</v>
          </cell>
        </row>
        <row r="36">
          <cell r="A36" t="str">
            <v>Diferencial de 2 ton.</v>
          </cell>
        </row>
        <row r="37">
          <cell r="A37" t="str">
            <v>Diferencial de 3 ton</v>
          </cell>
        </row>
        <row r="38">
          <cell r="A38" t="str">
            <v>Equipo de control (bandas sonoras reduce velocidad) (Termohigometros, Termómetros, Galgas, etc)</v>
          </cell>
        </row>
        <row r="39">
          <cell r="A39" t="str">
            <v>Equipo de oxicorte</v>
          </cell>
        </row>
        <row r="40">
          <cell r="A40" t="str">
            <v>Equipo de perforación (TRACKDRILL)</v>
          </cell>
        </row>
        <row r="41">
          <cell r="A41" t="str">
            <v>Equipo de pintura (Compresor)</v>
          </cell>
        </row>
        <row r="42">
          <cell r="A42" t="str">
            <v>Equipo de soldadura 250 AMP</v>
          </cell>
        </row>
        <row r="43">
          <cell r="A43" t="str">
            <v>euipo de soldadura 400</v>
          </cell>
        </row>
        <row r="44">
          <cell r="A44" t="str">
            <v>euipo de soldadura 600</v>
          </cell>
        </row>
        <row r="45">
          <cell r="A45" t="str">
            <v>Equipo de topografía</v>
          </cell>
        </row>
        <row r="46">
          <cell r="A46" t="str">
            <v>Equipo manual aplicador (bandas sonoras reduce velocidad)</v>
          </cell>
        </row>
        <row r="47">
          <cell r="A47" t="str">
            <v>Esparcidor de gravilla (INCLUYE VOLQUETA)</v>
          </cell>
        </row>
        <row r="48">
          <cell r="A48" t="str">
            <v>Estación</v>
          </cell>
        </row>
        <row r="49">
          <cell r="A49" t="str">
            <v>Formaleta metálica (concreto hidraulico)</v>
          </cell>
        </row>
        <row r="50">
          <cell r="A50" t="str">
            <v>Formaleta metálica (tuberia de concreto reforzado)</v>
          </cell>
        </row>
        <row r="51">
          <cell r="A51" t="str">
            <v>Formaleta para camisa de pilote</v>
          </cell>
        </row>
        <row r="52">
          <cell r="A52" t="str">
            <v>Fresadora de pavimento</v>
          </cell>
        </row>
        <row r="53">
          <cell r="A53" t="str">
            <v>Fresadora y recicladora de pavimento</v>
          </cell>
        </row>
        <row r="54">
          <cell r="A54" t="str">
            <v>Gato para tensionamiento</v>
          </cell>
        </row>
        <row r="55">
          <cell r="A55" t="str">
            <v>Grua 10 ton</v>
          </cell>
        </row>
        <row r="56">
          <cell r="A56" t="str">
            <v>Grua (capacidad 15 ton)</v>
          </cell>
        </row>
        <row r="57">
          <cell r="A57" t="str">
            <v>Grua con torre</v>
          </cell>
        </row>
        <row r="58">
          <cell r="A58" t="str">
            <v>Grua telescópica</v>
          </cell>
        </row>
        <row r="59">
          <cell r="A59" t="str">
            <v>Guadañadora</v>
          </cell>
        </row>
        <row r="60">
          <cell r="A60" t="str">
            <v>Maquina térmica pegatachas</v>
          </cell>
        </row>
        <row r="61">
          <cell r="A61" t="str">
            <v>Mezcladora de concreto (1bulto)</v>
          </cell>
        </row>
        <row r="62">
          <cell r="A62" t="str">
            <v>Montacargas</v>
          </cell>
        </row>
        <row r="63">
          <cell r="A63" t="str">
            <v>Motobomba 3 PULGADAS</v>
          </cell>
        </row>
        <row r="64">
          <cell r="A64" t="str">
            <v>Motobomba 4 PULGADAS</v>
          </cell>
        </row>
        <row r="65">
          <cell r="A65" t="str">
            <v>Motobomba 6" DIAMETRO DE BOMBEO DE 2M³/SEG.</v>
          </cell>
        </row>
        <row r="66">
          <cell r="A66" t="str">
            <v>Motobomba de concreto</v>
          </cell>
        </row>
        <row r="67">
          <cell r="A67" t="str">
            <v>Motoniveladora</v>
          </cell>
        </row>
        <row r="68">
          <cell r="A68" t="str">
            <v>Motosierra</v>
          </cell>
        </row>
        <row r="69">
          <cell r="A69" t="str">
            <v>Pala auxiliar de piloteadora</v>
          </cell>
        </row>
        <row r="70">
          <cell r="A70" t="str">
            <v>Pala grua con martillos</v>
          </cell>
        </row>
        <row r="71">
          <cell r="A71" t="str">
            <v>Piloteadora</v>
          </cell>
        </row>
        <row r="72">
          <cell r="A72" t="str">
            <v>Planta de asfalto en caliente</v>
          </cell>
        </row>
        <row r="73">
          <cell r="A73" t="str">
            <v>Planta de asfalto en frio</v>
          </cell>
        </row>
        <row r="74">
          <cell r="A74" t="str">
            <v xml:space="preserve">Planta eléctrica </v>
          </cell>
        </row>
        <row r="75">
          <cell r="A75" t="str">
            <v>Planta trituradora</v>
          </cell>
        </row>
        <row r="76">
          <cell r="A76" t="str">
            <v>Pluma capacidad 100 kg</v>
          </cell>
        </row>
        <row r="77">
          <cell r="A77" t="str">
            <v>Pulidora (8500 REV)</v>
          </cell>
        </row>
        <row r="78">
          <cell r="A78" t="str">
            <v>Pulvimixer</v>
          </cell>
        </row>
        <row r="79">
          <cell r="A79" t="str">
            <v>Regla vibratoria L=3m</v>
          </cell>
        </row>
        <row r="80">
          <cell r="A80" t="str">
            <v>Recicladora</v>
          </cell>
        </row>
        <row r="81">
          <cell r="A81" t="str">
            <v>Retrocargador</v>
          </cell>
        </row>
        <row r="82">
          <cell r="A82" t="str">
            <v>Retroexcavadora CAT 320</v>
          </cell>
        </row>
        <row r="83">
          <cell r="A83" t="str">
            <v xml:space="preserve">Retrocargador CAT 510 </v>
          </cell>
        </row>
        <row r="84">
          <cell r="A84" t="str">
            <v>Retroexcavadora A25C</v>
          </cell>
        </row>
        <row r="85">
          <cell r="A85" t="str">
            <v>Retroexcavadora E-200 sobre orugas</v>
          </cell>
        </row>
        <row r="86">
          <cell r="A86" t="str">
            <v>Retroexcavadora E-200 sobre orugas trabajo en rio</v>
          </cell>
        </row>
        <row r="87">
          <cell r="A87" t="str">
            <v>Retroexcavadora E-200 con martillo neumatico</v>
          </cell>
        </row>
        <row r="88">
          <cell r="A88" t="str">
            <v>Retroexcavadora 428 doble trasmición</v>
          </cell>
        </row>
        <row r="89">
          <cell r="A89" t="str">
            <v>Retroexcavadora sobre llantas JD 410</v>
          </cell>
        </row>
        <row r="90">
          <cell r="A90" t="str">
            <v>Taco metálico o puntal (escamas en concreto)</v>
          </cell>
        </row>
        <row r="91">
          <cell r="A91" t="str">
            <v>Tarifa de transporte</v>
          </cell>
        </row>
        <row r="92">
          <cell r="A92" t="str">
            <v>Tarifa de transporte para  mezclas</v>
          </cell>
        </row>
        <row r="93">
          <cell r="A93" t="str">
            <v xml:space="preserve">Tarifa de transporte de mezclas para bacheo </v>
          </cell>
        </row>
        <row r="94">
          <cell r="A94" t="str">
            <v>Tarifa de transporte de estructuras metálicas en obra</v>
          </cell>
        </row>
        <row r="95">
          <cell r="A95" t="str">
            <v xml:space="preserve">Tarifa de transporte de estructuras metálicas </v>
          </cell>
        </row>
        <row r="96">
          <cell r="A96" t="str">
            <v>Terminadora de asfalto (Finisher)</v>
          </cell>
        </row>
        <row r="97">
          <cell r="A97" t="str">
            <v>Vehiculo delineador</v>
          </cell>
        </row>
        <row r="98">
          <cell r="A98" t="str">
            <v>Vibrador de concreto</v>
          </cell>
        </row>
        <row r="99">
          <cell r="A99" t="str">
            <v>Vibrocompatador Dynapac (10 ton)</v>
          </cell>
        </row>
        <row r="100">
          <cell r="A100" t="str">
            <v>Vibrocompatador Dynapac C15</v>
          </cell>
        </row>
        <row r="101">
          <cell r="A101" t="str">
            <v>Volqueta 6 m3</v>
          </cell>
        </row>
        <row r="102">
          <cell r="A102" t="str">
            <v>Equipo de sandblasting</v>
          </cell>
        </row>
        <row r="103">
          <cell r="A103" t="str">
            <v>Taladro</v>
          </cell>
        </row>
        <row r="104">
          <cell r="A104" t="str">
            <v>dispensador neumatico hit-p500</v>
          </cell>
        </row>
        <row r="106">
          <cell r="A106" t="str">
            <v>Camisa</v>
          </cell>
        </row>
      </sheetData>
      <sheetData sheetId="1" refreshError="1">
        <row r="7">
          <cell r="A7" t="str">
            <v>Acero A-36 para estructura metalica</v>
          </cell>
        </row>
        <row r="8">
          <cell r="A8" t="str">
            <v>Acero A-37</v>
          </cell>
        </row>
        <row r="9">
          <cell r="A9" t="str">
            <v>Acero A-40</v>
          </cell>
        </row>
        <row r="10">
          <cell r="A10" t="str">
            <v>Acero PDR-60</v>
          </cell>
        </row>
        <row r="11">
          <cell r="A11" t="str">
            <v>Adoquin e=7cm (en obra)</v>
          </cell>
        </row>
        <row r="12">
          <cell r="A12" t="str">
            <v>Adoquin grama 10X20X6 (en obra)</v>
          </cell>
        </row>
        <row r="13">
          <cell r="A13" t="str">
            <v>Adoquin color 10X20X6  (en obra)</v>
          </cell>
        </row>
        <row r="14">
          <cell r="A14" t="str">
            <v>Agregado para concreto hidraulico</v>
          </cell>
        </row>
        <row r="15">
          <cell r="A15" t="str">
            <v>Agregado para tratamiento superf. Doble</v>
          </cell>
        </row>
        <row r="16">
          <cell r="A16" t="str">
            <v>Agregado para tratamiento superf. Simple</v>
          </cell>
        </row>
        <row r="17">
          <cell r="A17" t="str">
            <v>Agregado petreo para mezclas asfálticas</v>
          </cell>
        </row>
        <row r="18">
          <cell r="A18" t="str">
            <v>Agregado petreo para triturar (crudo)</v>
          </cell>
        </row>
        <row r="19">
          <cell r="A19" t="str">
            <v>Agregados seleccionados (tamaño máximo 1") (bandas sonoras reduce velocidad)</v>
          </cell>
        </row>
        <row r="20">
          <cell r="A20" t="str">
            <v>Agregado tipo LA1 (lechadas)</v>
          </cell>
        </row>
        <row r="21">
          <cell r="A21" t="str">
            <v>Agregado tipo LA2 (lechadas)</v>
          </cell>
        </row>
        <row r="22">
          <cell r="A22" t="str">
            <v>Agregado tipo LA3 (lechadas)</v>
          </cell>
        </row>
        <row r="23">
          <cell r="A23" t="str">
            <v>Agregado tipo LA4 (lechadas)</v>
          </cell>
        </row>
        <row r="24">
          <cell r="A24" t="str">
            <v>Agua</v>
          </cell>
        </row>
        <row r="25">
          <cell r="A25" t="str">
            <v>Alambre de pua calibre 12 (340 m)</v>
          </cell>
        </row>
        <row r="26">
          <cell r="A26" t="str">
            <v>Alambre galvanizado No. 12</v>
          </cell>
        </row>
        <row r="27">
          <cell r="A27" t="str">
            <v>Alambre negro para amarre</v>
          </cell>
        </row>
        <row r="28">
          <cell r="A28" t="str">
            <v>Almohadillas de neopreno dureza 60 (35cm*45cm*5cm con 2 laminas de 3mm)</v>
          </cell>
        </row>
        <row r="29">
          <cell r="A29" t="str">
            <v>Amortiguadores</v>
          </cell>
        </row>
        <row r="30">
          <cell r="A30" t="str">
            <v>Aditivo (Retardante plastificante redutor de fraguado) (sikament 320)</v>
          </cell>
        </row>
        <row r="31">
          <cell r="A31" t="str">
            <v>Aditivo (Acelerante plastificante para concretos (plastocrete 169 HE)</v>
          </cell>
        </row>
        <row r="32">
          <cell r="A32" t="str">
            <v>Anfo</v>
          </cell>
        </row>
        <row r="33">
          <cell r="A33" t="str">
            <v>Angulo de 1-1/2" x 1/4" (cerramiento en malla)</v>
          </cell>
        </row>
        <row r="34">
          <cell r="A34" t="str">
            <v>Antisol blanco (presentacion 20 kg)</v>
          </cell>
        </row>
        <row r="35">
          <cell r="A35" t="str">
            <v>Arbol de 1.2 m</v>
          </cell>
        </row>
        <row r="36">
          <cell r="A36" t="str">
            <v>Arbol de 0.6 m</v>
          </cell>
        </row>
        <row r="37">
          <cell r="A37" t="str">
            <v>Arena de sello (fina)</v>
          </cell>
        </row>
        <row r="38">
          <cell r="A38" t="str">
            <v>Arena de soporte (media)</v>
          </cell>
        </row>
        <row r="39">
          <cell r="A39" t="str">
            <v>Arena de trituracion (sellos de arena-afalto)</v>
          </cell>
        </row>
        <row r="40">
          <cell r="A40" t="str">
            <v>Arena lavada</v>
          </cell>
        </row>
        <row r="41">
          <cell r="A41" t="str">
            <v>Asfalto AP 190 (BREA)</v>
          </cell>
        </row>
        <row r="42">
          <cell r="A42" t="str">
            <v>Asfalto liquido RC 250</v>
          </cell>
        </row>
        <row r="43">
          <cell r="A43" t="str">
            <v>Barras de transferencia de carga</v>
          </cell>
        </row>
        <row r="44">
          <cell r="A44" t="str">
            <v>Barras de unión de 1/2"</v>
          </cell>
        </row>
        <row r="45">
          <cell r="A45" t="str">
            <v>Bentonita</v>
          </cell>
        </row>
        <row r="46">
          <cell r="A46" t="str">
            <v>Biomanto</v>
          </cell>
        </row>
        <row r="47">
          <cell r="A47" t="str">
            <v>Bolsacreto de 1m3</v>
          </cell>
        </row>
        <row r="48">
          <cell r="A48" t="str">
            <v>Cal</v>
          </cell>
        </row>
        <row r="49">
          <cell r="A49" t="str">
            <v>Cable de 1/2" (para anclajes)</v>
          </cell>
        </row>
        <row r="50">
          <cell r="A50" t="str">
            <v>Camisa metálica en acero A-37</v>
          </cell>
        </row>
        <row r="51">
          <cell r="A51" t="str">
            <v>Camisas y Formaleta en Concreto</v>
          </cell>
        </row>
        <row r="52">
          <cell r="A52" t="str">
            <v>Captafaro</v>
          </cell>
        </row>
        <row r="53">
          <cell r="A53" t="str">
            <v>Cemento Asfaltico 60-70</v>
          </cell>
        </row>
        <row r="54">
          <cell r="A54" t="str">
            <v>Cemento Asfaltico 80-100</v>
          </cell>
        </row>
        <row r="55">
          <cell r="A55" t="str">
            <v>Cemento asfaltico modificado con polimeros tipo I</v>
          </cell>
        </row>
        <row r="56">
          <cell r="A56" t="str">
            <v>Cemento asfaltico modificado con polimeros tipo II</v>
          </cell>
        </row>
        <row r="57">
          <cell r="A57" t="str">
            <v>Cemento asfaltico modificado con polimeros tipo III</v>
          </cell>
        </row>
        <row r="58">
          <cell r="A58" t="str">
            <v>Cemento asfaltico modificado con polimeros tipo IV</v>
          </cell>
        </row>
        <row r="59">
          <cell r="A59" t="str">
            <v>Cemento gris</v>
          </cell>
        </row>
        <row r="60">
          <cell r="A60" t="str">
            <v>Cespedones</v>
          </cell>
        </row>
        <row r="61">
          <cell r="A61" t="str">
            <v>Cicatrizante (para remoción de especies vegetales)</v>
          </cell>
        </row>
        <row r="62">
          <cell r="A62" t="str">
            <v>Cintilla de poliuretano (sikarod)</v>
          </cell>
        </row>
        <row r="63">
          <cell r="A63" t="str">
            <v>Cinta Sika PVC 0,22</v>
          </cell>
        </row>
        <row r="64">
          <cell r="A64" t="str">
            <v>Concreto clase A</v>
          </cell>
        </row>
        <row r="65">
          <cell r="A65" t="str">
            <v>Concreto clase B</v>
          </cell>
        </row>
        <row r="66">
          <cell r="A66" t="str">
            <v>Concreto clase  C</v>
          </cell>
        </row>
        <row r="67">
          <cell r="A67" t="str">
            <v>Concreto clase D (tremie)</v>
          </cell>
        </row>
        <row r="68">
          <cell r="A68" t="str">
            <v>Concreto hidraulico para pavimento MR-43</v>
          </cell>
        </row>
        <row r="69">
          <cell r="A69" t="str">
            <v>Concreto hidraulico para pavimento MR-43 (FastracK)(acelerado a 24 horas)</v>
          </cell>
        </row>
        <row r="70">
          <cell r="A70" t="str">
            <v>Cordón detonante</v>
          </cell>
        </row>
        <row r="71">
          <cell r="A71" t="str">
            <v>Costal de fibra o fique</v>
          </cell>
        </row>
        <row r="72">
          <cell r="A72" t="str">
            <v>Cuñas para el tensionamiento</v>
          </cell>
        </row>
        <row r="73">
          <cell r="A73" t="str">
            <v>Derechos de explotación y o disposición de materiales</v>
          </cell>
        </row>
        <row r="74">
          <cell r="A74" t="str">
            <v xml:space="preserve">Disposición de material de derrumbe </v>
          </cell>
        </row>
        <row r="75">
          <cell r="A75" t="str">
            <v>Disolvente para pintura (especificar el tipo de disolvente que está utilizando) thiner</v>
          </cell>
        </row>
        <row r="76">
          <cell r="A76" t="str">
            <v>Disolvente para pintura (especificar el tipo de disolvente que está utilizando) varsol</v>
          </cell>
        </row>
        <row r="77">
          <cell r="A77" t="str">
            <v>Ductos para tensionimiento</v>
          </cell>
        </row>
        <row r="78">
          <cell r="A78" t="str">
            <v>Emulsión CRM</v>
          </cell>
        </row>
        <row r="79">
          <cell r="A79" t="str">
            <v>Emulsión modificada con polimeros CRMm</v>
          </cell>
        </row>
        <row r="80">
          <cell r="A80" t="str">
            <v>Emulsión CRL-0</v>
          </cell>
        </row>
        <row r="81">
          <cell r="A81" t="str">
            <v>Emulsión CRL-1</v>
          </cell>
        </row>
        <row r="82">
          <cell r="A82" t="str">
            <v>Emulsión CRL-1h</v>
          </cell>
        </row>
        <row r="83">
          <cell r="A83" t="str">
            <v>Emulsión CRL-1hm</v>
          </cell>
        </row>
        <row r="84">
          <cell r="A84" t="str">
            <v>Emulsión CRR-1</v>
          </cell>
        </row>
        <row r="85">
          <cell r="A85" t="str">
            <v>Emulsión CRR-2</v>
          </cell>
        </row>
        <row r="86">
          <cell r="A86" t="str">
            <v>Emulsión CRR-1m</v>
          </cell>
        </row>
        <row r="87">
          <cell r="A87" t="str">
            <v>Emulsión CRR-2m</v>
          </cell>
        </row>
        <row r="88">
          <cell r="A88" t="str">
            <v>Esferas reflectivas</v>
          </cell>
        </row>
        <row r="89">
          <cell r="A89" t="str">
            <v>Estacas, Pintura, Tachuelas, Hilo (localización de estructuras y carreteras)</v>
          </cell>
        </row>
        <row r="90">
          <cell r="A90" t="str">
            <v>Explosivos  75% (INDUGEL)</v>
          </cell>
        </row>
        <row r="91">
          <cell r="A91" t="str">
            <v>Formaleta (gaviones, juntas de bordillos, juntas de cunetas, muros, concretos clase D,E, F y G)</v>
          </cell>
        </row>
        <row r="92">
          <cell r="A92" t="str">
            <v>Formaleta concreto clase A,B y C</v>
          </cell>
        </row>
        <row r="93">
          <cell r="A93" t="str">
            <v>Formaleta para baranda de concreto</v>
          </cell>
        </row>
        <row r="94">
          <cell r="A94" t="str">
            <v>Formaleta para muros</v>
          </cell>
        </row>
        <row r="95">
          <cell r="A95" t="str">
            <v>Formaleta, platina y accesorios (escamas en concreto)</v>
          </cell>
        </row>
        <row r="96">
          <cell r="A96" t="str">
            <v>Fulminantes</v>
          </cell>
        </row>
        <row r="97">
          <cell r="A97" t="str">
            <v>Fundente</v>
          </cell>
        </row>
        <row r="98">
          <cell r="A98" t="str">
            <v>Gas propano</v>
          </cell>
        </row>
        <row r="99">
          <cell r="A99" t="str">
            <v>Geoterxtil T-2400 o similar (provedores Lafayet, Tensar, Omnes u otros)</v>
          </cell>
        </row>
        <row r="100">
          <cell r="A100" t="str">
            <v>Geotextil NT-2500 o similar (provedores, Tensar, Omnes u otros)</v>
          </cell>
        </row>
        <row r="101">
          <cell r="A101" t="str">
            <v>Geotextil NT REPAV 450 o similar (provedores Lafayet, Tensar, Omnes u otros)</v>
          </cell>
        </row>
        <row r="102">
          <cell r="A102" t="str">
            <v>Geotextil T-2100 o similar (provedores Lafayet, Tensar, Omnes u otros)</v>
          </cell>
        </row>
        <row r="103">
          <cell r="A103" t="str">
            <v>Grapas</v>
          </cell>
        </row>
        <row r="104">
          <cell r="A104" t="str">
            <v>Lechada para ductos (tensionamiento)</v>
          </cell>
        </row>
        <row r="105">
          <cell r="A105" t="str">
            <v>Limpiador 1/4 de galón (anclajes)</v>
          </cell>
        </row>
        <row r="106">
          <cell r="A106" t="str">
            <v>Listón en guadua para empradizar</v>
          </cell>
        </row>
        <row r="107">
          <cell r="A107" t="str">
            <v>Manguera de polietileno de 3"</v>
          </cell>
        </row>
        <row r="108">
          <cell r="A108" t="str">
            <v>Malla para gaviones (2M3)</v>
          </cell>
        </row>
        <row r="109">
          <cell r="A109" t="str">
            <v>Malla eslabonada, calibre 10, 6 ojos</v>
          </cell>
        </row>
        <row r="110">
          <cell r="A110" t="str">
            <v>Material de afirmado</v>
          </cell>
        </row>
        <row r="111">
          <cell r="A111" t="str">
            <v>Material de afirmado de la zona</v>
          </cell>
        </row>
        <row r="112">
          <cell r="A112" t="str">
            <v>Material de base</v>
          </cell>
        </row>
        <row r="113">
          <cell r="A113" t="str">
            <v>Material de la zona (para estabilizar bases)</v>
          </cell>
        </row>
        <row r="114">
          <cell r="A114" t="str">
            <v>Material de base (gradación 1)</v>
          </cell>
        </row>
        <row r="115">
          <cell r="A115" t="str">
            <v>Material de base (gradación 2)</v>
          </cell>
        </row>
        <row r="116">
          <cell r="A116" t="str">
            <v>Material de base (gradación 3)</v>
          </cell>
        </row>
        <row r="117">
          <cell r="A117" t="str">
            <v>Material para pedraplén</v>
          </cell>
        </row>
        <row r="118">
          <cell r="A118" t="str">
            <v>Material de Sub- Base para bacheo</v>
          </cell>
        </row>
        <row r="119">
          <cell r="A119" t="str">
            <v>Material de Sub- Base CBR=20%</v>
          </cell>
        </row>
        <row r="120">
          <cell r="A120" t="str">
            <v>Material de Sub- Base CBR=30%</v>
          </cell>
        </row>
        <row r="121">
          <cell r="A121" t="str">
            <v>Material de Sub- Base CBR=40%</v>
          </cell>
        </row>
        <row r="122">
          <cell r="A122" t="str">
            <v>Material seleccionado del Relleno</v>
          </cell>
        </row>
        <row r="123">
          <cell r="A123" t="str">
            <v>Material drenante (3")</v>
          </cell>
        </row>
        <row r="124">
          <cell r="A124" t="str">
            <v>Material filtrante (6")</v>
          </cell>
        </row>
        <row r="125">
          <cell r="A125" t="str">
            <v>Mecha Lenta</v>
          </cell>
        </row>
        <row r="126">
          <cell r="A126" t="str">
            <v>Mezcla abierta en caliente MAC-1</v>
          </cell>
        </row>
        <row r="127">
          <cell r="A127" t="str">
            <v>Mezcla abierta en caliente MAC-2</v>
          </cell>
        </row>
        <row r="128">
          <cell r="A128" t="str">
            <v>Mezcla abierta en caliente MAC-3</v>
          </cell>
        </row>
        <row r="129">
          <cell r="A129" t="str">
            <v>mezcla abierta en frio MAF-1</v>
          </cell>
        </row>
        <row r="130">
          <cell r="A130" t="str">
            <v>mezcla abierta en frio MAF-2</v>
          </cell>
        </row>
        <row r="131">
          <cell r="A131" t="str">
            <v>mezcla abierta en frio MAF-3</v>
          </cell>
        </row>
        <row r="132">
          <cell r="A132" t="str">
            <v>Mezcla densa en caliente MDC-0</v>
          </cell>
        </row>
        <row r="133">
          <cell r="A133" t="str">
            <v>Mezcla densa en caliente MDC-1</v>
          </cell>
        </row>
        <row r="134">
          <cell r="A134" t="str">
            <v>Mezcla densa en caliente MDC-2</v>
          </cell>
        </row>
        <row r="135">
          <cell r="A135" t="str">
            <v>Mezcla densa en caliente MDC-3</v>
          </cell>
        </row>
        <row r="136">
          <cell r="A136" t="str">
            <v>Mezcla densa en frio MDF-1</v>
          </cell>
        </row>
        <row r="137">
          <cell r="A137" t="str">
            <v>Mezcla densa en frio MDF-2</v>
          </cell>
        </row>
        <row r="138">
          <cell r="A138" t="str">
            <v>Mezcla densa en frio MDF-3</v>
          </cell>
        </row>
        <row r="139">
          <cell r="A139" t="str">
            <v>Mezcla discontinua en caliente M-1</v>
          </cell>
        </row>
        <row r="140">
          <cell r="A140" t="str">
            <v>Mezcla discontinua en caliente M-2</v>
          </cell>
        </row>
        <row r="141">
          <cell r="A141" t="str">
            <v>Mezcla discontinua en caliente F-1</v>
          </cell>
        </row>
        <row r="142">
          <cell r="A142" t="str">
            <v>Mezcla discontinua en caliente F-2</v>
          </cell>
        </row>
        <row r="143">
          <cell r="A143" t="str">
            <v>Nutrientes (para remoción de especies vegetales) (dap, triple 15 o similar) (item 201.9)</v>
          </cell>
        </row>
        <row r="144">
          <cell r="A144" t="str">
            <v>Obra falsa concreto clase A, B Y C (puntal de 3m metálico)</v>
          </cell>
        </row>
        <row r="145">
          <cell r="A145" t="str">
            <v>Oxigeno industrial</v>
          </cell>
        </row>
        <row r="146">
          <cell r="A146" t="str">
            <v>Paral en madera rolliza de 3" (tablestacados)</v>
          </cell>
        </row>
        <row r="147">
          <cell r="A147" t="str">
            <v>Paral en madera rolliza de 6" y 5m de longitud (tablestacados)</v>
          </cell>
        </row>
        <row r="148">
          <cell r="A148" t="str">
            <v>Paral en madera rolliza de 5" y 4,5m de longitud (tablestacados)</v>
          </cell>
        </row>
        <row r="149">
          <cell r="A149" t="str">
            <v>Paral en madera rolliza de 6" y 8m de longitud (tablestacados)</v>
          </cell>
        </row>
        <row r="150">
          <cell r="A150" t="str">
            <v>Pegante epóxico</v>
          </cell>
        </row>
        <row r="151">
          <cell r="A151" t="str">
            <v>Piedra para concreto ciclópeo (rajón o canto rodado)</v>
          </cell>
        </row>
        <row r="152">
          <cell r="A152" t="str">
            <v>Piedra para gavión</v>
          </cell>
        </row>
        <row r="153">
          <cell r="A153" t="str">
            <v>Pintura acrilica pura para tráfico</v>
          </cell>
        </row>
        <row r="154">
          <cell r="A154" t="str">
            <v>Pintura anticorrosiva</v>
          </cell>
        </row>
        <row r="155">
          <cell r="A155" t="str">
            <v xml:space="preserve">Pintura acrilica, esmalte o similar </v>
          </cell>
        </row>
        <row r="156">
          <cell r="A156" t="str">
            <v>Pilote en madera barbosco de 15*15</v>
          </cell>
        </row>
        <row r="157">
          <cell r="A157" t="str">
            <v>Platina de 1" x 1/4" (cerramiento en malla)</v>
          </cell>
        </row>
        <row r="158">
          <cell r="A158" t="str">
            <v xml:space="preserve">Poste de madera para cercas </v>
          </cell>
        </row>
        <row r="159">
          <cell r="A159" t="str">
            <v>Poste kilometraje</v>
          </cell>
        </row>
        <row r="160">
          <cell r="A160" t="str">
            <v>Poste en angulo de 2*2*1/4 de 3,5m para señal</v>
          </cell>
        </row>
        <row r="161">
          <cell r="A161" t="str">
            <v>Postes de concreto para cercas</v>
          </cell>
        </row>
        <row r="162">
          <cell r="A162" t="str">
            <v>Postes para defensa metálica (1,80m)</v>
          </cell>
        </row>
        <row r="163">
          <cell r="A163" t="str">
            <v>Quimico estabilizante (PROBASE)</v>
          </cell>
        </row>
        <row r="164">
          <cell r="A164" t="str">
            <v xml:space="preserve">Resina termoplastica </v>
          </cell>
        </row>
        <row r="165">
          <cell r="A165" t="str">
            <v>Salida en PVC D=2"</v>
          </cell>
        </row>
        <row r="166">
          <cell r="A166" t="str">
            <v>Sección final de defensa metálica</v>
          </cell>
        </row>
        <row r="167">
          <cell r="A167" t="str">
            <v>Sello de silicona o sellador autonivelante</v>
          </cell>
        </row>
        <row r="168">
          <cell r="A168" t="str">
            <v>Semillas para empradizar</v>
          </cell>
        </row>
        <row r="169">
          <cell r="A169" t="str">
            <v xml:space="preserve">Señal (grupo 2). Tablero en lámina galvanizado de 1,2m*0,4m, calibre 16, reflectivo tipo 1. </v>
          </cell>
        </row>
        <row r="170">
          <cell r="A170" t="str">
            <v>Señal (grupo 1). Tablero en lámina galvanizada de 75cm*75cm, calibre 16, reflectivo tipo 1</v>
          </cell>
        </row>
        <row r="171">
          <cell r="A171" t="str">
            <v xml:space="preserve">Señal (grupo 5). Tablero en lámina galvanizado de 0,90m*1,13m, calibre 16, reflectivo tipo 1. </v>
          </cell>
        </row>
        <row r="172">
          <cell r="A172" t="str">
            <v>Señal (grupo 4). Tablero en lámina galvanizado de 60cm*75cm, calibre 16, reflectivo tipo 1. (delineador de curva horizontal)</v>
          </cell>
        </row>
        <row r="173">
          <cell r="A173" t="str">
            <v xml:space="preserve">Señal (grupo 3 ferrocarril) (SP-54). Tablero en lámina galvanizado de 2,4m*0,3m, calibre 16, reflectivo tipo 1. </v>
          </cell>
        </row>
        <row r="174">
          <cell r="A174" t="str">
            <v>Soldadura 6013 de 1/8</v>
          </cell>
        </row>
        <row r="175">
          <cell r="A175" t="str">
            <v>Soldadura en PVC 1/8 de galón (anclajes)</v>
          </cell>
        </row>
        <row r="176">
          <cell r="A176" t="str">
            <v>Soldadura 7018</v>
          </cell>
        </row>
        <row r="177">
          <cell r="A177" t="str">
            <v>Soldadura L-70</v>
          </cell>
        </row>
        <row r="178">
          <cell r="A178" t="str">
            <v>Superplastificante Sikament</v>
          </cell>
        </row>
        <row r="179">
          <cell r="A179" t="str">
            <v>Tablestaca en madera aserrada (0,25*0,05*3)</v>
          </cell>
        </row>
        <row r="180">
          <cell r="A180" t="str">
            <v>Tablestaca en madera aserrada (0,3*0,03*3)</v>
          </cell>
        </row>
        <row r="181">
          <cell r="A181" t="str">
            <v>Tablestaca metálica (riel de 70 lb/yarda)</v>
          </cell>
        </row>
        <row r="182">
          <cell r="A182" t="str">
            <v>Tacha reflectiva</v>
          </cell>
        </row>
        <row r="183">
          <cell r="A183" t="str">
            <v>Tapón en PVC RD21 de 1" (para anclaje)</v>
          </cell>
        </row>
        <row r="184">
          <cell r="A184" t="str">
            <v xml:space="preserve">Tierra abonada </v>
          </cell>
        </row>
        <row r="185">
          <cell r="A185" t="str">
            <v>Tornillos para defensa metálica</v>
          </cell>
        </row>
        <row r="186">
          <cell r="A186" t="str">
            <v>Torón de tensionmiento 1/2" o 5/8"</v>
          </cell>
        </row>
        <row r="187">
          <cell r="A187" t="str">
            <v>Tramo recto para defensas métalicas (3,81m)</v>
          </cell>
        </row>
        <row r="188">
          <cell r="A188" t="str">
            <v>Trompetas de 12 torones (tensionamiento)</v>
          </cell>
        </row>
        <row r="189">
          <cell r="A189" t="str">
            <v>Tubería D=4" tipo pesado, E=2mm (baranda metálica)</v>
          </cell>
        </row>
        <row r="190">
          <cell r="A190" t="str">
            <v>Tubería en H de D=1/4", H=1.40m, A=0.20m (baranda metálica)</v>
          </cell>
        </row>
        <row r="191">
          <cell r="A191" t="str">
            <v>Tuberia Perforada en PVC de 2"</v>
          </cell>
        </row>
        <row r="192">
          <cell r="A192" t="str">
            <v>Tuberia PVC RD21 de 1" (para anclajes)</v>
          </cell>
        </row>
        <row r="193">
          <cell r="A193" t="str">
            <v>Tuberia PVC de 1" (para escamas en concreto)</v>
          </cell>
        </row>
        <row r="194">
          <cell r="A194" t="str">
            <v>Tuberia de 10" PAA vaciado tremi de 4 mts</v>
          </cell>
        </row>
        <row r="195">
          <cell r="A195" t="str">
            <v>Tubo concreto reforzado 900mm (tipo 1)</v>
          </cell>
        </row>
        <row r="196">
          <cell r="A196" t="str">
            <v>Tubo concreto reforzado 900mm (tipo 2)</v>
          </cell>
        </row>
        <row r="197">
          <cell r="A197" t="str">
            <v>Tubo concreto simple 450 mm</v>
          </cell>
        </row>
        <row r="198">
          <cell r="A198" t="str">
            <v>Tubo concreto simple 600 mm</v>
          </cell>
        </row>
        <row r="199">
          <cell r="A199" t="str">
            <v>Tubo concreto simple 750 mm</v>
          </cell>
        </row>
        <row r="200">
          <cell r="A200" t="str">
            <v>Tubo corrugado de acero galvanizado MP-68</v>
          </cell>
        </row>
        <row r="201">
          <cell r="A201" t="str">
            <v>Tubo para cerramiento, calibre 16 de 2,7m (cerramientos en malla)</v>
          </cell>
        </row>
        <row r="202">
          <cell r="A202" t="str">
            <v>Unión en PVC RD21 de 1" (para anclajes)</v>
          </cell>
        </row>
        <row r="203">
          <cell r="A203" t="str">
            <v>Unión en PVC D=2"</v>
          </cell>
        </row>
        <row r="204">
          <cell r="A204" t="str">
            <v>ADOQUIN DE ARCILLA</v>
          </cell>
        </row>
        <row r="205">
          <cell r="A205" t="str">
            <v>tubo concreto simple de 200mm</v>
          </cell>
        </row>
        <row r="206">
          <cell r="A206" t="str">
            <v>Seccion de Tope</v>
          </cell>
        </row>
        <row r="207">
          <cell r="A207" t="str">
            <v>Sikadur 32 primer</v>
          </cell>
        </row>
        <row r="208">
          <cell r="A208" t="str">
            <v>junta elastomerica m100</v>
          </cell>
        </row>
        <row r="209">
          <cell r="A209" t="str">
            <v>oxigeno y acetileno</v>
          </cell>
        </row>
        <row r="210">
          <cell r="A210" t="str">
            <v>disco de diamante</v>
          </cell>
        </row>
        <row r="211">
          <cell r="A211" t="str">
            <v>brocas tugsteno</v>
          </cell>
        </row>
        <row r="212">
          <cell r="A212" t="str">
            <v>perno d=18mm, l=200mm, tuerca y arandela en acero de alta resistencia</v>
          </cell>
        </row>
        <row r="213">
          <cell r="A213" t="str">
            <v>mortero alta resistencia (incluye fibra de nylon)</v>
          </cell>
        </row>
        <row r="214">
          <cell r="A214" t="str">
            <v>epoxico re-500 hil ti</v>
          </cell>
        </row>
        <row r="216">
          <cell r="A216" t="str">
            <v>pintura acrilica base agua</v>
          </cell>
        </row>
        <row r="217">
          <cell r="A217" t="str">
            <v>Estoperol</v>
          </cell>
        </row>
        <row r="218">
          <cell r="A218" t="str">
            <v>malla para colchogaviones</v>
          </cell>
        </row>
        <row r="219">
          <cell r="A219" t="str">
            <v>geotextil separar suelos</v>
          </cell>
        </row>
      </sheetData>
      <sheetData sheetId="2" refreshError="1">
        <row r="6">
          <cell r="A6" t="str">
            <v>ADMINISTRACION</v>
          </cell>
        </row>
        <row r="7">
          <cell r="A7" t="str">
            <v>IMPREVISTOS</v>
          </cell>
        </row>
        <row r="8">
          <cell r="A8" t="str">
            <v>UTILIDAD</v>
          </cell>
        </row>
        <row r="9">
          <cell r="A9" t="str">
            <v>PRESTACIONES</v>
          </cell>
        </row>
        <row r="10">
          <cell r="A10" t="str">
            <v>DISTANCIA ACARREO 1</v>
          </cell>
        </row>
        <row r="11">
          <cell r="A11" t="str">
            <v>DISTANCIA SUMINISTRO (MATERIAL DE LA ZONA)</v>
          </cell>
        </row>
        <row r="12">
          <cell r="A12" t="str">
            <v>DISTANCIA SUMINISTRO</v>
          </cell>
        </row>
        <row r="13">
          <cell r="A13" t="str">
            <v>DISTANCIA SUMINISTRO BASES SUB BASES AFIRMADOS</v>
          </cell>
        </row>
        <row r="14">
          <cell r="A14" t="str">
            <v>DISTANCIA DE SUMINISTRO CONCRETOS</v>
          </cell>
        </row>
        <row r="15">
          <cell r="A15" t="str">
            <v>DISTANCIA DE SUMINISTRO MEZCLAS ASFALTICAS</v>
          </cell>
        </row>
        <row r="16">
          <cell r="A16" t="str">
            <v>DISTANCIA TRANSPORTE ESTRUCTURA METALICA</v>
          </cell>
        </row>
        <row r="17">
          <cell r="A17" t="str">
            <v>CADENERO</v>
          </cell>
        </row>
        <row r="18">
          <cell r="A18" t="str">
            <v>INSPECTOR DE FABRICACION Y MONTAJE</v>
          </cell>
        </row>
        <row r="19">
          <cell r="A19" t="str">
            <v>OBRERO</v>
          </cell>
        </row>
        <row r="20">
          <cell r="A20" t="str">
            <v>OFICIAL</v>
          </cell>
        </row>
        <row r="21">
          <cell r="A21" t="str">
            <v>OFICIAL EXPERTO EN DESMONTAJE</v>
          </cell>
        </row>
        <row r="22">
          <cell r="A22" t="str">
            <v>PALETEROS</v>
          </cell>
        </row>
        <row r="23">
          <cell r="A23" t="str">
            <v>RASTRILLEROS</v>
          </cell>
        </row>
        <row r="24">
          <cell r="A24" t="str">
            <v>SOLDADOR</v>
          </cell>
        </row>
        <row r="25">
          <cell r="A25" t="str">
            <v>TOPOGRAFO</v>
          </cell>
        </row>
        <row r="26">
          <cell r="A26" t="str">
            <v>PINTOR</v>
          </cell>
        </row>
        <row r="28">
          <cell r="A28" t="str">
            <v>3 AYUDANTES</v>
          </cell>
        </row>
        <row r="29">
          <cell r="A29" t="str">
            <v>2 OBREROS</v>
          </cell>
        </row>
        <row r="30">
          <cell r="A30" t="str">
            <v>3 OBREROS</v>
          </cell>
        </row>
        <row r="31">
          <cell r="A31" t="str">
            <v>4 OBREROS</v>
          </cell>
        </row>
        <row r="32">
          <cell r="A32" t="str">
            <v>5 OBREROS</v>
          </cell>
        </row>
        <row r="33">
          <cell r="A33" t="str">
            <v>6 OBREROS</v>
          </cell>
        </row>
        <row r="34">
          <cell r="A34" t="str">
            <v>7 OBREROS</v>
          </cell>
        </row>
        <row r="35">
          <cell r="A35" t="str">
            <v>8 OBREROS</v>
          </cell>
        </row>
        <row r="36">
          <cell r="A36" t="str">
            <v>9 OBREROS</v>
          </cell>
        </row>
        <row r="37">
          <cell r="A37" t="str">
            <v>10 OBREROS</v>
          </cell>
        </row>
        <row r="38">
          <cell r="A38" t="str">
            <v>11 OBREROS</v>
          </cell>
        </row>
        <row r="39">
          <cell r="A39" t="str">
            <v>12 OBREROS</v>
          </cell>
        </row>
        <row r="40">
          <cell r="A40" t="str">
            <v>13 OBREROS</v>
          </cell>
        </row>
        <row r="41">
          <cell r="A41" t="str">
            <v>14 OBREROS</v>
          </cell>
        </row>
        <row r="42">
          <cell r="A42" t="str">
            <v>15 OBREROS</v>
          </cell>
        </row>
        <row r="43">
          <cell r="A43" t="str">
            <v>16 OBREROS</v>
          </cell>
        </row>
        <row r="44">
          <cell r="A44" t="str">
            <v>17 OBREROS</v>
          </cell>
        </row>
        <row r="45">
          <cell r="A45" t="str">
            <v>18 OBREROS</v>
          </cell>
        </row>
        <row r="46">
          <cell r="A46" t="str">
            <v>19 OBREROS</v>
          </cell>
        </row>
        <row r="47">
          <cell r="A47" t="str">
            <v>20 OBREROS</v>
          </cell>
        </row>
        <row r="48">
          <cell r="A48" t="str">
            <v>21 OBREROS</v>
          </cell>
        </row>
        <row r="49">
          <cell r="A49" t="str">
            <v>22 OBREROS</v>
          </cell>
        </row>
        <row r="50">
          <cell r="A50" t="str">
            <v>23 OBREROS</v>
          </cell>
        </row>
        <row r="51">
          <cell r="A51" t="str">
            <v>24 OBREROS</v>
          </cell>
        </row>
        <row r="52">
          <cell r="A52" t="str">
            <v>25 OBREROS</v>
          </cell>
        </row>
        <row r="53">
          <cell r="A53" t="str">
            <v>2 PALETEROS</v>
          </cell>
        </row>
        <row r="54">
          <cell r="A54" t="str">
            <v>CUADRILLA ASFALTEROS (6 obrero, 2 rastrilleros y 1 oficial)</v>
          </cell>
        </row>
        <row r="55">
          <cell r="A55" t="str">
            <v>1 ARMADOR</v>
          </cell>
        </row>
        <row r="56">
          <cell r="A56" t="str">
            <v>1 CORTADOR</v>
          </cell>
        </row>
        <row r="57">
          <cell r="A57" t="str">
            <v>1 AYUDANTE</v>
          </cell>
        </row>
        <row r="58">
          <cell r="A58" t="str">
            <v>1 NIVELETERO</v>
          </cell>
        </row>
        <row r="59">
          <cell r="A59" t="str">
            <v>CUADRILLA PARA BACHEO (6 obreroS, 2 NIVELETEROS y 1 oficial)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243D-F8AF-462F-9BCC-079093359815}">
  <sheetPr>
    <tabColor theme="4" tint="0.59999389629810485"/>
    <pageSetUpPr fitToPage="1"/>
  </sheetPr>
  <dimension ref="C1:K23"/>
  <sheetViews>
    <sheetView tabSelected="1" view="pageBreakPreview" zoomScaleNormal="100" zoomScaleSheetLayoutView="100" workbookViewId="0">
      <selection activeCell="G25" sqref="G25"/>
    </sheetView>
  </sheetViews>
  <sheetFormatPr baseColWidth="10" defaultColWidth="11.59765625" defaultRowHeight="14" x14ac:dyDescent="0.3"/>
  <cols>
    <col min="1" max="1" width="4.296875" style="1" customWidth="1"/>
    <col min="2" max="2" width="5.3984375" style="1" customWidth="1"/>
    <col min="3" max="3" width="11.8984375" style="1" customWidth="1"/>
    <col min="4" max="4" width="49.3984375" style="2" customWidth="1"/>
    <col min="5" max="5" width="12.296875" style="1" customWidth="1"/>
    <col min="6" max="6" width="14.296875" style="1" customWidth="1"/>
    <col min="7" max="7" width="18.796875" style="1" customWidth="1"/>
    <col min="8" max="8" width="7.09765625" style="1" customWidth="1"/>
    <col min="9" max="9" width="18" style="1" customWidth="1"/>
    <col min="10" max="11" width="10.69921875" style="1" customWidth="1"/>
    <col min="12" max="16384" width="11.59765625" style="1"/>
  </cols>
  <sheetData>
    <row r="1" spans="3:11" ht="40.299999999999997" customHeight="1" thickBot="1" x14ac:dyDescent="0.35">
      <c r="C1" s="43" t="s">
        <v>0</v>
      </c>
      <c r="D1" s="44"/>
      <c r="E1" s="44"/>
      <c r="F1" s="44"/>
      <c r="G1" s="44"/>
      <c r="H1" s="44"/>
      <c r="I1" s="44"/>
      <c r="J1" s="44"/>
      <c r="K1" s="45"/>
    </row>
    <row r="2" spans="3:11" ht="14.55" thickBot="1" x14ac:dyDescent="0.35">
      <c r="G2" s="3" t="s">
        <v>1</v>
      </c>
    </row>
    <row r="3" spans="3:11" ht="14.55" thickBot="1" x14ac:dyDescent="0.35">
      <c r="C3" s="46" t="s">
        <v>2</v>
      </c>
      <c r="D3" s="46"/>
      <c r="E3" s="46"/>
      <c r="F3" s="46"/>
      <c r="G3" s="4">
        <v>1.54</v>
      </c>
      <c r="J3" s="47" t="s">
        <v>3</v>
      </c>
      <c r="K3" s="48"/>
    </row>
    <row r="4" spans="3:11" ht="42.45" thickBot="1" x14ac:dyDescent="0.35">
      <c r="C4" s="49" t="s">
        <v>4</v>
      </c>
      <c r="D4" s="50"/>
      <c r="E4" s="50"/>
      <c r="F4" s="50"/>
      <c r="G4" s="51"/>
      <c r="H4" s="5"/>
      <c r="I4" s="6" t="s">
        <v>5</v>
      </c>
      <c r="J4" s="52"/>
      <c r="K4" s="48"/>
    </row>
    <row r="5" spans="3:11" ht="14.55" thickBot="1" x14ac:dyDescent="0.35">
      <c r="C5" s="7" t="s">
        <v>6</v>
      </c>
      <c r="D5" s="8" t="s">
        <v>7</v>
      </c>
      <c r="E5" s="9" t="s">
        <v>8</v>
      </c>
      <c r="F5" s="9" t="s">
        <v>9</v>
      </c>
      <c r="G5" s="10" t="s">
        <v>10</v>
      </c>
      <c r="I5" s="11"/>
      <c r="J5" s="52"/>
      <c r="K5" s="53"/>
    </row>
    <row r="6" spans="3:11" ht="14.55" thickBot="1" x14ac:dyDescent="0.35">
      <c r="C6" s="12">
        <v>1</v>
      </c>
      <c r="D6" s="13" t="s">
        <v>11</v>
      </c>
      <c r="E6" s="14">
        <v>1</v>
      </c>
      <c r="F6" s="15">
        <v>200000</v>
      </c>
      <c r="G6" s="16">
        <f>+F6*$G$3</f>
        <v>308000</v>
      </c>
      <c r="I6" s="17">
        <f>+G6*30</f>
        <v>9240000</v>
      </c>
      <c r="J6" s="18"/>
      <c r="K6" s="19"/>
    </row>
    <row r="7" spans="3:11" x14ac:dyDescent="0.3">
      <c r="C7" s="12">
        <v>1</v>
      </c>
      <c r="D7" s="20" t="s">
        <v>12</v>
      </c>
      <c r="E7" s="14">
        <v>1</v>
      </c>
      <c r="F7" s="15">
        <v>120000</v>
      </c>
      <c r="G7" s="16">
        <f>+F7*$G$3</f>
        <v>184800</v>
      </c>
      <c r="I7" s="17">
        <f>+G7*30</f>
        <v>5544000</v>
      </c>
      <c r="J7" s="41"/>
      <c r="K7" s="42"/>
    </row>
    <row r="8" spans="3:11" x14ac:dyDescent="0.3">
      <c r="C8" s="21">
        <v>2</v>
      </c>
      <c r="D8" s="22" t="s">
        <v>13</v>
      </c>
      <c r="E8" s="23">
        <v>1</v>
      </c>
      <c r="F8" s="24">
        <v>103000</v>
      </c>
      <c r="G8" s="16">
        <f>+F8*$G$3</f>
        <v>158620</v>
      </c>
      <c r="I8" s="25">
        <f t="shared" ref="I8:I20" si="0">+G8*30</f>
        <v>4758600</v>
      </c>
      <c r="J8" s="37"/>
      <c r="K8" s="38"/>
    </row>
    <row r="9" spans="3:11" x14ac:dyDescent="0.3">
      <c r="C9" s="21">
        <v>3</v>
      </c>
      <c r="D9" s="22" t="s">
        <v>14</v>
      </c>
      <c r="E9" s="23">
        <v>1</v>
      </c>
      <c r="F9" s="24">
        <v>240000</v>
      </c>
      <c r="G9" s="16">
        <f>+F9*$G$3</f>
        <v>369600</v>
      </c>
      <c r="I9" s="25">
        <f t="shared" si="0"/>
        <v>11088000</v>
      </c>
      <c r="J9" s="37"/>
      <c r="K9" s="38"/>
    </row>
    <row r="10" spans="3:11" x14ac:dyDescent="0.3">
      <c r="C10" s="21">
        <v>6</v>
      </c>
      <c r="D10" s="26" t="s">
        <v>15</v>
      </c>
      <c r="E10" s="23">
        <v>1</v>
      </c>
      <c r="F10" s="24">
        <v>130000</v>
      </c>
      <c r="G10" s="27">
        <f>$G$3*F10</f>
        <v>200200</v>
      </c>
      <c r="I10" s="25">
        <f t="shared" si="0"/>
        <v>6006000</v>
      </c>
      <c r="J10" s="37"/>
      <c r="K10" s="38"/>
    </row>
    <row r="11" spans="3:11" x14ac:dyDescent="0.3">
      <c r="C11" s="21">
        <v>7</v>
      </c>
      <c r="D11" s="26" t="s">
        <v>16</v>
      </c>
      <c r="E11" s="23">
        <v>1</v>
      </c>
      <c r="F11" s="24">
        <v>103000</v>
      </c>
      <c r="G11" s="27">
        <f>$G$3*F11</f>
        <v>158620</v>
      </c>
      <c r="I11" s="25">
        <f t="shared" si="0"/>
        <v>4758600</v>
      </c>
      <c r="J11" s="37"/>
      <c r="K11" s="38"/>
    </row>
    <row r="12" spans="3:11" x14ac:dyDescent="0.3">
      <c r="C12" s="21">
        <v>8</v>
      </c>
      <c r="D12" s="22" t="s">
        <v>17</v>
      </c>
      <c r="E12" s="23">
        <v>1</v>
      </c>
      <c r="F12" s="24">
        <v>150000</v>
      </c>
      <c r="G12" s="28">
        <f>F12*1.2</f>
        <v>180000</v>
      </c>
      <c r="I12" s="25">
        <f t="shared" si="0"/>
        <v>5400000</v>
      </c>
      <c r="J12" s="37"/>
      <c r="K12" s="38"/>
    </row>
    <row r="13" spans="3:11" x14ac:dyDescent="0.3">
      <c r="C13" s="21">
        <v>9</v>
      </c>
      <c r="D13" s="22" t="s">
        <v>18</v>
      </c>
      <c r="E13" s="23">
        <v>1</v>
      </c>
      <c r="F13" s="24">
        <v>103000</v>
      </c>
      <c r="G13" s="28">
        <f>1.2*F13</f>
        <v>123600</v>
      </c>
      <c r="I13" s="25">
        <f t="shared" si="0"/>
        <v>3708000</v>
      </c>
      <c r="J13" s="37"/>
      <c r="K13" s="38"/>
    </row>
    <row r="14" spans="3:11" x14ac:dyDescent="0.3">
      <c r="C14" s="21">
        <v>10</v>
      </c>
      <c r="D14" s="26" t="s">
        <v>19</v>
      </c>
      <c r="E14" s="23">
        <v>1</v>
      </c>
      <c r="F14" s="24">
        <v>130000</v>
      </c>
      <c r="G14" s="27">
        <f t="shared" ref="G14:G23" si="1">$G$3*F14</f>
        <v>200200</v>
      </c>
      <c r="I14" s="25">
        <f t="shared" si="0"/>
        <v>6006000</v>
      </c>
      <c r="J14" s="37"/>
      <c r="K14" s="38"/>
    </row>
    <row r="15" spans="3:11" x14ac:dyDescent="0.3">
      <c r="C15" s="21">
        <v>11</v>
      </c>
      <c r="D15" s="26" t="s">
        <v>20</v>
      </c>
      <c r="E15" s="23">
        <v>1</v>
      </c>
      <c r="F15" s="24">
        <v>103000</v>
      </c>
      <c r="G15" s="27">
        <f t="shared" si="1"/>
        <v>158620</v>
      </c>
      <c r="I15" s="25">
        <f t="shared" si="0"/>
        <v>4758600</v>
      </c>
      <c r="J15" s="37"/>
      <c r="K15" s="38"/>
    </row>
    <row r="16" spans="3:11" x14ac:dyDescent="0.3">
      <c r="C16" s="21">
        <v>12</v>
      </c>
      <c r="D16" s="22" t="s">
        <v>21</v>
      </c>
      <c r="E16" s="23">
        <v>1</v>
      </c>
      <c r="F16" s="24">
        <v>120000</v>
      </c>
      <c r="G16" s="27">
        <f t="shared" si="1"/>
        <v>184800</v>
      </c>
      <c r="I16" s="25">
        <f t="shared" si="0"/>
        <v>5544000</v>
      </c>
      <c r="J16" s="37"/>
      <c r="K16" s="38"/>
    </row>
    <row r="17" spans="3:11" x14ac:dyDescent="0.3">
      <c r="C17" s="21">
        <v>13</v>
      </c>
      <c r="D17" s="22" t="s">
        <v>22</v>
      </c>
      <c r="E17" s="23">
        <v>1</v>
      </c>
      <c r="F17" s="24">
        <v>103000</v>
      </c>
      <c r="G17" s="27">
        <f t="shared" si="1"/>
        <v>158620</v>
      </c>
      <c r="I17" s="25">
        <f t="shared" si="0"/>
        <v>4758600</v>
      </c>
      <c r="J17" s="37"/>
      <c r="K17" s="38"/>
    </row>
    <row r="18" spans="3:11" x14ac:dyDescent="0.3">
      <c r="C18" s="21">
        <v>14</v>
      </c>
      <c r="D18" s="22" t="s">
        <v>23</v>
      </c>
      <c r="E18" s="23">
        <v>1</v>
      </c>
      <c r="F18" s="24">
        <v>120000</v>
      </c>
      <c r="G18" s="27">
        <f t="shared" si="1"/>
        <v>184800</v>
      </c>
      <c r="I18" s="25">
        <f t="shared" si="0"/>
        <v>5544000</v>
      </c>
      <c r="J18" s="37"/>
      <c r="K18" s="38"/>
    </row>
    <row r="19" spans="3:11" x14ac:dyDescent="0.3">
      <c r="C19" s="21">
        <v>15</v>
      </c>
      <c r="D19" s="26" t="s">
        <v>24</v>
      </c>
      <c r="E19" s="23">
        <v>1</v>
      </c>
      <c r="F19" s="24">
        <v>120000</v>
      </c>
      <c r="G19" s="27">
        <f t="shared" si="1"/>
        <v>184800</v>
      </c>
      <c r="I19" s="25">
        <f t="shared" si="0"/>
        <v>5544000</v>
      </c>
      <c r="J19" s="37"/>
      <c r="K19" s="38"/>
    </row>
    <row r="20" spans="3:11" x14ac:dyDescent="0.3">
      <c r="C20" s="21">
        <v>16</v>
      </c>
      <c r="D20" s="26" t="s">
        <v>25</v>
      </c>
      <c r="E20" s="23">
        <v>1</v>
      </c>
      <c r="F20" s="24">
        <v>103000</v>
      </c>
      <c r="G20" s="27">
        <f t="shared" si="1"/>
        <v>158620</v>
      </c>
      <c r="I20" s="25">
        <f t="shared" si="0"/>
        <v>4758600</v>
      </c>
      <c r="J20" s="37"/>
      <c r="K20" s="38"/>
    </row>
    <row r="21" spans="3:11" x14ac:dyDescent="0.3">
      <c r="C21" s="21">
        <v>17</v>
      </c>
      <c r="D21" s="26" t="s">
        <v>26</v>
      </c>
      <c r="E21" s="23">
        <v>1</v>
      </c>
      <c r="F21" s="29">
        <v>120000</v>
      </c>
      <c r="G21" s="30">
        <f t="shared" si="1"/>
        <v>184800</v>
      </c>
      <c r="I21" s="25">
        <f>+G21*30</f>
        <v>5544000</v>
      </c>
      <c r="J21" s="37"/>
      <c r="K21" s="38"/>
    </row>
    <row r="22" spans="3:11" x14ac:dyDescent="0.3">
      <c r="C22" s="21">
        <v>18</v>
      </c>
      <c r="D22" s="26" t="s">
        <v>27</v>
      </c>
      <c r="E22" s="23">
        <v>1</v>
      </c>
      <c r="F22" s="29">
        <v>103000</v>
      </c>
      <c r="G22" s="30">
        <f t="shared" si="1"/>
        <v>158620</v>
      </c>
      <c r="I22" s="25">
        <f>+G22*30</f>
        <v>4758600</v>
      </c>
      <c r="J22" s="37"/>
      <c r="K22" s="38"/>
    </row>
    <row r="23" spans="3:11" ht="14.55" thickBot="1" x14ac:dyDescent="0.35">
      <c r="C23" s="31">
        <v>19</v>
      </c>
      <c r="D23" s="32" t="s">
        <v>28</v>
      </c>
      <c r="E23" s="33">
        <v>1</v>
      </c>
      <c r="F23" s="34">
        <v>103000</v>
      </c>
      <c r="G23" s="35">
        <f t="shared" si="1"/>
        <v>158620</v>
      </c>
      <c r="I23" s="36">
        <f>+G23*30</f>
        <v>4758600</v>
      </c>
      <c r="J23" s="39"/>
      <c r="K23" s="40"/>
    </row>
  </sheetData>
  <mergeCells count="23">
    <mergeCell ref="J5:K5"/>
    <mergeCell ref="C1:K1"/>
    <mergeCell ref="C3:F3"/>
    <mergeCell ref="J3:K3"/>
    <mergeCell ref="C4:G4"/>
    <mergeCell ref="J4:K4"/>
    <mergeCell ref="J18:K18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9:K19"/>
    <mergeCell ref="J20:K20"/>
    <mergeCell ref="J21:K21"/>
    <mergeCell ref="J22:K22"/>
    <mergeCell ref="J23:K23"/>
  </mergeCells>
  <pageMargins left="0.7" right="0.7" top="0.75" bottom="0.75" header="0.3" footer="0.3"/>
  <pageSetup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M.O.</vt:lpstr>
      <vt:lpstr>M.O.!Área_de_impresión</vt:lpstr>
      <vt:lpstr>M.O.!Print_Area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2026-05-14T20:23:15Z</dcterms:created>
  <dcterms:modified xsi:type="dcterms:W3CDTF">2026-05-14T20:25:37Z</dcterms:modified>
</cp:coreProperties>
</file>