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6\automatizacion cotizaciones andres\"/>
    </mc:Choice>
  </mc:AlternateContent>
  <xr:revisionPtr revIDLastSave="0" documentId="8_{71096B1A-FB1E-4401-A1A4-60FDD354325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Print_Area" localSheetId="0">Sheet1!$A$2:$F$68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2" i="1" l="1"/>
  <c r="F20" i="1"/>
  <c r="G28" i="1"/>
  <c r="G19" i="1"/>
  <c r="F9" i="1"/>
  <c r="F8" i="1"/>
  <c r="F10" i="1" s="1"/>
  <c r="F5" i="1"/>
  <c r="F6" i="1" s="1"/>
  <c r="F27" i="1" l="1"/>
  <c r="F38" i="1"/>
  <c r="F31" i="1" l="1"/>
  <c r="F28" i="1"/>
  <c r="F26" i="1"/>
  <c r="F25" i="1"/>
  <c r="F24" i="1"/>
  <c r="F32" i="1"/>
  <c r="F21" i="1"/>
  <c r="F12" i="1"/>
  <c r="F43" i="1"/>
  <c r="F44" i="1" s="1"/>
  <c r="F29" i="1" l="1"/>
  <c r="F39" i="1"/>
  <c r="F40" i="1" s="1"/>
  <c r="F17" i="1" l="1"/>
  <c r="F50" i="1" l="1"/>
  <c r="F51" i="1" l="1"/>
  <c r="F46" i="1"/>
  <c r="F47" i="1" s="1"/>
  <c r="F49" i="1"/>
  <c r="F35" i="1"/>
  <c r="F34" i="1"/>
  <c r="F33" i="1"/>
  <c r="F36" i="1" l="1"/>
  <c r="F52" i="1"/>
  <c r="F19" i="1"/>
  <c r="F18" i="1"/>
  <c r="F16" i="1"/>
  <c r="F15" i="1"/>
  <c r="F14" i="1"/>
  <c r="F13" i="1"/>
  <c r="F22" i="1" l="1"/>
  <c r="F53" i="1" s="1"/>
  <c r="F54" i="1" s="1"/>
  <c r="F55" i="1" l="1"/>
  <c r="F56" i="1"/>
  <c r="F57" i="1" s="1"/>
  <c r="F58" i="1" l="1"/>
</calcChain>
</file>

<file path=xl/sharedStrings.xml><?xml version="1.0" encoding="utf-8"?>
<sst xmlns="http://schemas.openxmlformats.org/spreadsheetml/2006/main" count="138" uniqueCount="109">
  <si>
    <t>UN</t>
  </si>
  <si>
    <t>1,00</t>
  </si>
  <si>
    <t>ML</t>
  </si>
  <si>
    <t>SUPERVISION E INGENIERIA</t>
  </si>
  <si>
    <t>Suministro Unidades Interiores</t>
  </si>
  <si>
    <t>Tubería de Cobre 3/8",aislada</t>
  </si>
  <si>
    <t>Tubería de Cobre 1/2",aislada</t>
  </si>
  <si>
    <t>Tubería de Cobre 5/8",aislada</t>
  </si>
  <si>
    <t>Tubería de Cobre 1 1/8",aislada</t>
  </si>
  <si>
    <t>Gas Freon 410 A</t>
  </si>
  <si>
    <t>ACCESORIOS PARA REDES DE REFRIGERACION SISTEMAS SRV</t>
  </si>
  <si>
    <t>LBS</t>
  </si>
  <si>
    <t>UND</t>
  </si>
  <si>
    <t>TOTAL COSTOS DIRECTOS</t>
  </si>
  <si>
    <t>TOTAL FINAL |</t>
  </si>
  <si>
    <t>UNIDAD</t>
  </si>
  <si>
    <t xml:space="preserve">VALOR / UNITARIO </t>
  </si>
  <si>
    <t>VALOR / TOTAL</t>
  </si>
  <si>
    <t>CANTIDAD</t>
  </si>
  <si>
    <t xml:space="preserve">ITEM </t>
  </si>
  <si>
    <t>DESCRIPCION</t>
  </si>
  <si>
    <t>ACOMETIDAS TABLEROS Y CANALIZACIONES</t>
  </si>
  <si>
    <t>TRANSPORTE E IZAJE DE EQUIPOS</t>
  </si>
  <si>
    <t>Subtotal capitulo 6</t>
  </si>
  <si>
    <t>Subtotal capitulo 7</t>
  </si>
  <si>
    <t>transporte e izaje de equipos</t>
  </si>
  <si>
    <t>Suministro Unidades exteriores</t>
  </si>
  <si>
    <t>Subtotal capitulo 8</t>
  </si>
  <si>
    <t>Subtotal capitulo 4</t>
  </si>
  <si>
    <t>Subtotal capitulo 5</t>
  </si>
  <si>
    <t>Subtotal capitulo  9</t>
  </si>
  <si>
    <t>Subtotal capitulo 2</t>
  </si>
  <si>
    <t>Subtotal capitulo  1</t>
  </si>
  <si>
    <t>Ingenieria Planos de Construccion  "As Building"</t>
  </si>
  <si>
    <t>Tubería de Cobre 7/8",aislada</t>
  </si>
  <si>
    <t>Supervision e Ingenieria Sistemas SRV</t>
  </si>
  <si>
    <t>Tubería de Cobre 3/4",aislada</t>
  </si>
  <si>
    <t>ml</t>
  </si>
  <si>
    <t>und</t>
  </si>
  <si>
    <t>UTILIDADES (5%)</t>
  </si>
  <si>
    <t>11.01</t>
  </si>
  <si>
    <t>12.01</t>
  </si>
  <si>
    <t>12.02</t>
  </si>
  <si>
    <t>12.03</t>
  </si>
  <si>
    <t>Canalizaciones y Cableado de Tablero TAE- SRV a Condensadoras /Tuberia EMT 1"</t>
  </si>
  <si>
    <t xml:space="preserve">TUBERIAS DE REFRIGERACION y REFRIGERANTE SISTEMAS  SRV </t>
  </si>
  <si>
    <t>REDES DE   DRENAJE</t>
  </si>
  <si>
    <t>4.2</t>
  </si>
  <si>
    <t>4.3.1</t>
  </si>
  <si>
    <t>4.3.2</t>
  </si>
  <si>
    <t>4.5</t>
  </si>
  <si>
    <t>4.6.1</t>
  </si>
  <si>
    <t>4.6.2</t>
  </si>
  <si>
    <t>4.6.3</t>
  </si>
  <si>
    <t>4.6.4</t>
  </si>
  <si>
    <t>4.6.5</t>
  </si>
  <si>
    <t>4.6.6</t>
  </si>
  <si>
    <t>4.6.7</t>
  </si>
  <si>
    <t>4.6.8</t>
  </si>
  <si>
    <t>6.0</t>
  </si>
  <si>
    <t>7.0</t>
  </si>
  <si>
    <t>8.0</t>
  </si>
  <si>
    <t>9.01</t>
  </si>
  <si>
    <t>10.01</t>
  </si>
  <si>
    <t>tuberia pvc aislada en rubatex</t>
  </si>
  <si>
    <t>4.7.1</t>
  </si>
  <si>
    <t>4.7.2</t>
  </si>
  <si>
    <t>4.7.3</t>
  </si>
  <si>
    <t>4.7.4</t>
  </si>
  <si>
    <t>4.7.5</t>
  </si>
  <si>
    <t>Line and Headers Branch - Sistema SRV-KHRP26A22T7</t>
  </si>
  <si>
    <t>Line and Headers Branch - Sistema SRV-KHRP26A33T7</t>
  </si>
  <si>
    <t>Line and Headers Branch - Sistema SRV-KHRP26A72T7</t>
  </si>
  <si>
    <t>Line and Headers Branch - Sistema SRV-KHRP26A73T7</t>
  </si>
  <si>
    <t>Line and Headers Branch - Sistema SRV-KHRP26M73TP7</t>
  </si>
  <si>
    <t>Tubería de Cobre 1 5/8",aislada</t>
  </si>
  <si>
    <t>5.1</t>
  </si>
  <si>
    <t>Tablero TAE-E evaporadoras</t>
  </si>
  <si>
    <t>Tablero TAE-SRV condensadoras</t>
  </si>
  <si>
    <t>5.2</t>
  </si>
  <si>
    <t>Canalizaciones y Cableado lineas de fuerza TAE-E -a  evaporadoras (Tres hilos Cal.14) EMT 3/4"</t>
  </si>
  <si>
    <t>Canalizacion y Cableados lineas de control de condensadoras a unidades  Evaporadoras ,EMT 1/2"</t>
  </si>
  <si>
    <t>9.02</t>
  </si>
  <si>
    <t xml:space="preserve"> termostatos deControl alambricos BRC2E6</t>
  </si>
  <si>
    <t xml:space="preserve">arranque y puesta en marcha </t>
  </si>
  <si>
    <t>IMPREVISTOS (1%)</t>
  </si>
  <si>
    <t xml:space="preserve">cableado de control a termostatos  Control alambricos </t>
  </si>
  <si>
    <r>
      <t xml:space="preserve"> </t>
    </r>
    <r>
      <rPr>
        <b/>
        <sz val="22"/>
        <rFont val="Tahoma"/>
        <family val="2"/>
      </rPr>
      <t>CONTROL TERMOSTATOS ALAMBRICOS</t>
    </r>
  </si>
  <si>
    <t>IVA (19% SOBRE U)</t>
  </si>
  <si>
    <t>Proteccion asfaltica para aislamientos en cubierta</t>
  </si>
  <si>
    <t>mano de obra instalacion de unidades Condensadoras modelo RXQ18TATL 1-2*3 PISOS  OFICINAS  336.000 btu/hr, MARCA DAIKIN</t>
  </si>
  <si>
    <t>mano de obra instalacion Unidades Evaporadoras Tipo Cassette 4 Vias de 24000 btu /hr FXFSQ63AVM.incluye estructura de soporte</t>
  </si>
  <si>
    <t>mano de obra Unidades Evaporadoras Tipo Cassette 4 Vias de 36000 btu /hr FXFSQ100AVM incluye estructura de soporte</t>
  </si>
  <si>
    <t>GBL</t>
  </si>
  <si>
    <t>ADMINSTRACION (14%)</t>
  </si>
  <si>
    <t>4.6.9</t>
  </si>
  <si>
    <t>soporte tuberia de pvc</t>
  </si>
  <si>
    <t>soporte tuberia de cobre</t>
  </si>
  <si>
    <t>CONDICIONES COMERCIALES</t>
  </si>
  <si>
    <t>FORMA DE PAGO</t>
  </si>
  <si>
    <t>50 % DE ANTICIPO 45% MEDIANTE AVANCE DE OBRAS Y EL  5% AL TERMINAR EL TRABAJO A SATISFACCION</t>
  </si>
  <si>
    <t>PLAZO DE ENTREGA</t>
  </si>
  <si>
    <t>TRES MESES (3)</t>
  </si>
  <si>
    <t>VALIDEZ DE LA OFERTA:</t>
  </si>
  <si>
    <t>TREINTA  DIAS (30) DIAS</t>
  </si>
  <si>
    <t>NUESTRA OFERTA NO INCLUYE</t>
  </si>
  <si>
    <t xml:space="preserve">ING. HENRY CENTENO </t>
  </si>
  <si>
    <r>
      <rPr>
        <b/>
        <sz val="22"/>
        <color theme="1"/>
        <rFont val="Tahoma"/>
        <family val="2"/>
      </rPr>
      <t>NUESTRA OFERTA NO INCLUYE :</t>
    </r>
    <r>
      <rPr>
        <sz val="22"/>
        <color theme="1"/>
        <rFont val="Tahoma"/>
        <family val="2"/>
      </rPr>
      <t xml:space="preserve"> LA ACOMETIDAS DE  FUERZA DESDE LA SUBESTACION HASTA TABLERO DE LAS CONDENSADORAS SRV ,SUMNISTRO DE  UNIDADES CONDENSADORAS, FANCOILS, SIMULACION DE TUBERIAS,BASES DE LOS EQUIPOS,REGATAS Y RESANES ,QUITADA E INSTALACION DE CIELO RASO,SIMULACION DE TUBERIAS.</t>
    </r>
  </si>
  <si>
    <t>INELCO INGENIERO CONTRATISTAS SAS   -       PRECIOS BODEGA  CASTEL OFICINAS -GIRON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</si>
</sst>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\ #,##0_);[Red]\(&quot;$&quot;\ #,##0\)"/>
    <numFmt numFmtId="165" formatCode="_(* #,##0.00_);_(* \(#,##0.00\);_(* &quot;-&quot;??_);_(@_)"/>
    <numFmt numFmtId="166" formatCode="_([$$-240A]\ * #,##0_);_([$$-240A]\ * \(#,##0\);_([$$-240A]\ * &quot;-&quot;??_);_(@_)"/>
    <numFmt numFmtId="167" formatCode="_-[$$-240A]\ * #,##0_-;\-[$$-240A]\ * #,##0_-;_-[$$-240A]\ * &quot;-&quot;??_-;_-@_-"/>
  </numFmts>
  <fonts count="15" x14ac:knownFonts="1">
    <font>
      <sz val="10"/>
      <name val="Arial"/>
    </font>
    <font>
      <sz val="10"/>
      <name val="Arial"/>
      <family val="2"/>
    </font>
    <font>
      <b/>
      <sz val="22"/>
      <name val="Tahoma"/>
      <family val="2"/>
    </font>
    <font>
      <sz val="22"/>
      <name val="Arial"/>
      <family val="2"/>
    </font>
    <font>
      <b/>
      <sz val="22"/>
      <name val="Calibri"/>
      <family val="2"/>
    </font>
    <font>
      <sz val="22"/>
      <name val="Tahoma"/>
      <family val="2"/>
    </font>
    <font>
      <b/>
      <sz val="22"/>
      <name val="Arial"/>
      <family val="2"/>
    </font>
    <font>
      <sz val="22"/>
      <name val="Calibri"/>
      <family val="2"/>
    </font>
    <font>
      <sz val="14"/>
      <name val="Arial"/>
      <family val="2"/>
    </font>
    <font>
      <sz val="8"/>
      <name val="Arial"/>
      <family val="2"/>
    </font>
    <font>
      <b/>
      <sz val="22"/>
      <color theme="1"/>
      <name val="Century Gothic"/>
      <family val="2"/>
    </font>
    <font>
      <b/>
      <sz val="22"/>
      <color theme="1"/>
      <name val="Tahoma"/>
      <family val="2"/>
    </font>
    <font>
      <sz val="22"/>
      <color theme="1"/>
      <name val="Tahoma"/>
      <family val="2"/>
    </font>
    <font>
      <sz val="16"/>
      <color theme="1"/>
      <name val="Century Gothic"/>
      <family val="2"/>
    </font>
    <font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 applyNumberFormat="0" applyFont="0" applyFill="0" applyBorder="0" applyAlignment="0" applyProtection="0">
      <alignment vertical="top"/>
    </xf>
    <xf numFmtId="165" fontId="1" fillId="0" borderId="0" applyFont="0" applyFill="0" applyBorder="0" applyAlignment="0" applyProtection="0"/>
  </cellStyleXfs>
  <cellXfs count="195">
    <xf numFmtId="0" fontId="1" fillId="0" borderId="0" xfId="0" applyNumberFormat="1" applyFont="1" applyFill="1" applyBorder="1" applyAlignment="1" applyProtection="1">
      <alignment vertical="top"/>
    </xf>
    <xf numFmtId="0" fontId="2" fillId="0" borderId="8" xfId="0" applyNumberFormat="1" applyFont="1" applyFill="1" applyBorder="1" applyAlignment="1" applyProtection="1">
      <alignment horizontal="center" vertical="top"/>
    </xf>
    <xf numFmtId="0" fontId="5" fillId="0" borderId="10" xfId="0" applyNumberFormat="1" applyFont="1" applyFill="1" applyBorder="1" applyAlignment="1" applyProtection="1">
      <alignment horizontal="center" vertical="center"/>
    </xf>
    <xf numFmtId="0" fontId="5" fillId="0" borderId="10" xfId="0" applyNumberFormat="1" applyFont="1" applyFill="1" applyBorder="1" applyAlignment="1" applyProtection="1">
      <alignment horizontal="center" vertical="top"/>
    </xf>
    <xf numFmtId="0" fontId="5" fillId="0" borderId="4" xfId="0" applyNumberFormat="1" applyFont="1" applyFill="1" applyBorder="1" applyAlignment="1" applyProtection="1">
      <alignment horizontal="center" vertical="center"/>
    </xf>
    <xf numFmtId="0" fontId="5" fillId="0" borderId="11" xfId="0" applyNumberFormat="1" applyFont="1" applyFill="1" applyBorder="1" applyAlignment="1" applyProtection="1">
      <alignment horizontal="center" vertical="center"/>
    </xf>
    <xf numFmtId="0" fontId="5" fillId="0" borderId="11" xfId="0" applyNumberFormat="1" applyFont="1" applyFill="1" applyBorder="1" applyAlignment="1" applyProtection="1">
      <alignment horizontal="center" vertical="top"/>
    </xf>
    <xf numFmtId="0" fontId="3" fillId="0" borderId="15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22" xfId="0" applyNumberFormat="1" applyFont="1" applyFill="1" applyBorder="1" applyAlignment="1" applyProtection="1">
      <alignment horizontal="left" vertical="top"/>
    </xf>
    <xf numFmtId="0" fontId="2" fillId="0" borderId="8" xfId="0" applyNumberFormat="1" applyFont="1" applyFill="1" applyBorder="1" applyAlignment="1" applyProtection="1">
      <alignment horizontal="center" vertical="center"/>
    </xf>
    <xf numFmtId="0" fontId="5" fillId="0" borderId="9" xfId="0" applyNumberFormat="1" applyFont="1" applyFill="1" applyBorder="1" applyAlignment="1" applyProtection="1">
      <alignment horizontal="center" vertical="top"/>
    </xf>
    <xf numFmtId="0" fontId="5" fillId="0" borderId="13" xfId="0" applyNumberFormat="1" applyFont="1" applyFill="1" applyBorder="1" applyAlignment="1" applyProtection="1">
      <alignment horizontal="left" vertical="top"/>
    </xf>
    <xf numFmtId="166" fontId="5" fillId="0" borderId="9" xfId="0" applyNumberFormat="1" applyFont="1" applyFill="1" applyBorder="1" applyAlignment="1" applyProtection="1">
      <alignment horizontal="right" vertical="top"/>
    </xf>
    <xf numFmtId="0" fontId="5" fillId="0" borderId="4" xfId="0" applyNumberFormat="1" applyFont="1" applyFill="1" applyBorder="1" applyAlignment="1" applyProtection="1">
      <alignment horizontal="left" vertical="top"/>
    </xf>
    <xf numFmtId="0" fontId="5" fillId="0" borderId="14" xfId="0" applyNumberFormat="1" applyFont="1" applyFill="1" applyBorder="1" applyAlignment="1" applyProtection="1">
      <alignment horizontal="left" vertical="top"/>
    </xf>
    <xf numFmtId="0" fontId="6" fillId="0" borderId="18" xfId="0" applyNumberFormat="1" applyFont="1" applyFill="1" applyBorder="1" applyAlignment="1" applyProtection="1">
      <alignment horizontal="left" vertical="top"/>
    </xf>
    <xf numFmtId="0" fontId="3" fillId="0" borderId="8" xfId="0" applyNumberFormat="1" applyFont="1" applyFill="1" applyBorder="1" applyAlignment="1" applyProtection="1">
      <alignment horizontal="left" vertical="top"/>
    </xf>
    <xf numFmtId="0" fontId="5" fillId="0" borderId="9" xfId="0" applyNumberFormat="1" applyFont="1" applyFill="1" applyBorder="1" applyAlignment="1" applyProtection="1">
      <alignment horizontal="center" vertical="center"/>
    </xf>
    <xf numFmtId="0" fontId="5" fillId="0" borderId="13" xfId="0" applyNumberFormat="1" applyFont="1" applyFill="1" applyBorder="1" applyAlignment="1" applyProtection="1">
      <alignment horizontal="center" vertical="top"/>
    </xf>
    <xf numFmtId="166" fontId="5" fillId="0" borderId="24" xfId="0" applyNumberFormat="1" applyFont="1" applyFill="1" applyBorder="1" applyAlignment="1" applyProtection="1">
      <alignment horizontal="right" vertical="top"/>
    </xf>
    <xf numFmtId="166" fontId="5" fillId="0" borderId="23" xfId="0" applyNumberFormat="1" applyFont="1" applyFill="1" applyBorder="1" applyAlignment="1" applyProtection="1">
      <alignment horizontal="right" vertical="top"/>
    </xf>
    <xf numFmtId="0" fontId="5" fillId="0" borderId="14" xfId="0" applyNumberFormat="1" applyFont="1" applyFill="1" applyBorder="1" applyAlignment="1" applyProtection="1">
      <alignment horizontal="center" vertical="center"/>
    </xf>
    <xf numFmtId="0" fontId="2" fillId="0" borderId="19" xfId="0" applyNumberFormat="1" applyFont="1" applyFill="1" applyBorder="1" applyAlignment="1" applyProtection="1">
      <alignment horizontal="left" vertical="center"/>
    </xf>
    <xf numFmtId="0" fontId="5" fillId="0" borderId="14" xfId="0" applyNumberFormat="1" applyFont="1" applyFill="1" applyBorder="1" applyAlignment="1" applyProtection="1">
      <alignment horizontal="center" vertical="top"/>
    </xf>
    <xf numFmtId="166" fontId="5" fillId="0" borderId="11" xfId="0" applyNumberFormat="1" applyFont="1" applyFill="1" applyBorder="1" applyAlignment="1" applyProtection="1">
      <alignment horizontal="right" vertical="top"/>
    </xf>
    <xf numFmtId="166" fontId="5" fillId="0" borderId="25" xfId="0" applyNumberFormat="1" applyFont="1" applyFill="1" applyBorder="1" applyAlignment="1" applyProtection="1">
      <alignment horizontal="right" vertical="top"/>
    </xf>
    <xf numFmtId="0" fontId="3" fillId="0" borderId="7" xfId="0" applyNumberFormat="1" applyFont="1" applyFill="1" applyBorder="1" applyAlignment="1" applyProtection="1">
      <alignment horizontal="left" vertical="top"/>
    </xf>
    <xf numFmtId="0" fontId="3" fillId="0" borderId="1" xfId="0" applyNumberFormat="1" applyFont="1" applyFill="1" applyBorder="1" applyAlignment="1" applyProtection="1">
      <alignment horizontal="left" vertical="top"/>
    </xf>
    <xf numFmtId="164" fontId="5" fillId="0" borderId="1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/>
    </xf>
    <xf numFmtId="0" fontId="7" fillId="0" borderId="0" xfId="0" applyNumberFormat="1" applyFont="1" applyFill="1" applyBorder="1" applyAlignment="1" applyProtection="1">
      <alignment vertical="top"/>
    </xf>
    <xf numFmtId="2" fontId="8" fillId="0" borderId="0" xfId="0" applyNumberFormat="1" applyFont="1" applyFill="1" applyBorder="1" applyAlignment="1" applyProtection="1">
      <alignment vertical="top"/>
    </xf>
    <xf numFmtId="0" fontId="4" fillId="0" borderId="17" xfId="0" applyNumberFormat="1" applyFont="1" applyFill="1" applyBorder="1" applyAlignment="1" applyProtection="1">
      <alignment horizontal="right" vertical="top"/>
    </xf>
    <xf numFmtId="0" fontId="4" fillId="0" borderId="5" xfId="0" applyNumberFormat="1" applyFont="1" applyFill="1" applyBorder="1" applyAlignment="1" applyProtection="1">
      <alignment horizontal="right" vertical="top"/>
    </xf>
    <xf numFmtId="0" fontId="4" fillId="0" borderId="6" xfId="0" applyNumberFormat="1" applyFont="1" applyFill="1" applyBorder="1" applyAlignment="1" applyProtection="1">
      <alignment horizontal="right" vertical="top"/>
    </xf>
    <xf numFmtId="2" fontId="3" fillId="0" borderId="13" xfId="0" applyNumberFormat="1" applyFont="1" applyFill="1" applyBorder="1" applyAlignment="1" applyProtection="1">
      <alignment horizontal="center" vertical="center"/>
    </xf>
    <xf numFmtId="2" fontId="5" fillId="0" borderId="14" xfId="0" applyNumberFormat="1" applyFont="1" applyFill="1" applyBorder="1" applyAlignment="1" applyProtection="1">
      <alignment horizontal="center" vertical="center"/>
    </xf>
    <xf numFmtId="166" fontId="2" fillId="3" borderId="27" xfId="0" applyNumberFormat="1" applyFont="1" applyFill="1" applyBorder="1" applyAlignment="1" applyProtection="1">
      <alignment horizontal="right" vertical="top"/>
    </xf>
    <xf numFmtId="0" fontId="2" fillId="0" borderId="17" xfId="0" applyNumberFormat="1" applyFont="1" applyFill="1" applyBorder="1" applyAlignment="1" applyProtection="1">
      <alignment horizontal="left" vertical="top"/>
    </xf>
    <xf numFmtId="0" fontId="5" fillId="0" borderId="12" xfId="0" applyNumberFormat="1" applyFont="1" applyFill="1" applyBorder="1" applyAlignment="1" applyProtection="1">
      <alignment horizontal="center" vertical="top"/>
    </xf>
    <xf numFmtId="0" fontId="3" fillId="0" borderId="18" xfId="0" applyNumberFormat="1" applyFont="1" applyFill="1" applyBorder="1" applyAlignment="1" applyProtection="1">
      <alignment horizontal="left" vertical="top"/>
    </xf>
    <xf numFmtId="166" fontId="2" fillId="3" borderId="20" xfId="0" applyNumberFormat="1" applyFont="1" applyFill="1" applyBorder="1" applyAlignment="1" applyProtection="1">
      <alignment horizontal="right" vertical="top"/>
    </xf>
    <xf numFmtId="166" fontId="5" fillId="0" borderId="23" xfId="0" applyNumberFormat="1" applyFont="1" applyFill="1" applyBorder="1" applyAlignment="1" applyProtection="1">
      <alignment horizontal="right" vertical="center"/>
    </xf>
    <xf numFmtId="166" fontId="5" fillId="0" borderId="25" xfId="0" applyNumberFormat="1" applyFont="1" applyFill="1" applyBorder="1" applyAlignment="1" applyProtection="1">
      <alignment horizontal="right" vertical="center"/>
    </xf>
    <xf numFmtId="164" fontId="5" fillId="0" borderId="10" xfId="0" applyNumberFormat="1" applyFont="1" applyFill="1" applyBorder="1" applyAlignment="1" applyProtection="1">
      <alignment horizontal="right" vertical="center"/>
    </xf>
    <xf numFmtId="164" fontId="5" fillId="0" borderId="11" xfId="0" applyNumberFormat="1" applyFont="1" applyFill="1" applyBorder="1" applyAlignment="1" applyProtection="1">
      <alignment horizontal="right" vertical="center"/>
    </xf>
    <xf numFmtId="0" fontId="5" fillId="0" borderId="13" xfId="0" applyNumberFormat="1" applyFont="1" applyFill="1" applyBorder="1" applyAlignment="1" applyProtection="1">
      <alignment horizontal="center" vertical="center"/>
    </xf>
    <xf numFmtId="167" fontId="5" fillId="0" borderId="8" xfId="0" applyNumberFormat="1" applyFont="1" applyFill="1" applyBorder="1" applyAlignment="1" applyProtection="1">
      <alignment horizontal="center" vertical="center"/>
    </xf>
    <xf numFmtId="1" fontId="3" fillId="0" borderId="0" xfId="0" applyNumberFormat="1" applyFont="1" applyFill="1" applyBorder="1" applyAlignment="1" applyProtection="1">
      <alignment vertical="top"/>
    </xf>
    <xf numFmtId="0" fontId="2" fillId="0" borderId="1" xfId="0" applyNumberFormat="1" applyFont="1" applyFill="1" applyBorder="1" applyAlignment="1" applyProtection="1">
      <alignment horizontal="left" vertical="top"/>
    </xf>
    <xf numFmtId="2" fontId="1" fillId="0" borderId="0" xfId="0" applyNumberFormat="1" applyFont="1" applyFill="1" applyBorder="1" applyAlignment="1" applyProtection="1">
      <alignment vertical="top"/>
    </xf>
    <xf numFmtId="164" fontId="1" fillId="0" borderId="0" xfId="0" applyNumberFormat="1" applyFont="1" applyFill="1" applyBorder="1" applyAlignment="1" applyProtection="1">
      <alignment vertical="top"/>
    </xf>
    <xf numFmtId="0" fontId="5" fillId="2" borderId="8" xfId="0" applyNumberFormat="1" applyFont="1" applyFill="1" applyBorder="1" applyAlignment="1" applyProtection="1">
      <alignment horizontal="center" vertical="top"/>
    </xf>
    <xf numFmtId="0" fontId="3" fillId="2" borderId="2" xfId="0" applyNumberFormat="1" applyFont="1" applyFill="1" applyBorder="1" applyAlignment="1" applyProtection="1">
      <alignment horizontal="left" vertical="top"/>
    </xf>
    <xf numFmtId="0" fontId="3" fillId="2" borderId="16" xfId="0" applyNumberFormat="1" applyFont="1" applyFill="1" applyBorder="1" applyAlignment="1" applyProtection="1">
      <alignment horizontal="left" vertical="top"/>
    </xf>
    <xf numFmtId="0" fontId="3" fillId="2" borderId="15" xfId="0" applyNumberFormat="1" applyFont="1" applyFill="1" applyBorder="1" applyAlignment="1" applyProtection="1">
      <alignment horizontal="left" vertical="top"/>
    </xf>
    <xf numFmtId="0" fontId="3" fillId="0" borderId="3" xfId="0" applyNumberFormat="1" applyFont="1" applyFill="1" applyBorder="1" applyAlignment="1" applyProtection="1">
      <alignment horizontal="left" vertical="top"/>
    </xf>
    <xf numFmtId="164" fontId="5" fillId="0" borderId="9" xfId="0" applyNumberFormat="1" applyFont="1" applyFill="1" applyBorder="1" applyAlignment="1" applyProtection="1">
      <alignment horizontal="right" vertical="center"/>
    </xf>
    <xf numFmtId="0" fontId="5" fillId="0" borderId="32" xfId="0" applyNumberFormat="1" applyFont="1" applyFill="1" applyBorder="1" applyAlignment="1" applyProtection="1">
      <alignment horizontal="center" vertical="top"/>
    </xf>
    <xf numFmtId="0" fontId="2" fillId="0" borderId="17" xfId="0" applyNumberFormat="1" applyFont="1" applyFill="1" applyBorder="1" applyAlignment="1" applyProtection="1">
      <alignment horizontal="center" vertical="top"/>
    </xf>
    <xf numFmtId="0" fontId="2" fillId="0" borderId="17" xfId="0" applyNumberFormat="1" applyFont="1" applyFill="1" applyBorder="1" applyAlignment="1" applyProtection="1">
      <alignment horizontal="center" vertical="center"/>
    </xf>
    <xf numFmtId="0" fontId="2" fillId="0" borderId="5" xfId="0" applyNumberFormat="1" applyFont="1" applyFill="1" applyBorder="1" applyAlignment="1" applyProtection="1">
      <alignment horizontal="center" vertical="center"/>
    </xf>
    <xf numFmtId="0" fontId="2" fillId="0" borderId="6" xfId="0" applyNumberFormat="1" applyFont="1" applyFill="1" applyBorder="1" applyAlignment="1" applyProtection="1">
      <alignment horizontal="center" vertical="center"/>
    </xf>
    <xf numFmtId="166" fontId="5" fillId="0" borderId="1" xfId="0" applyNumberFormat="1" applyFont="1" applyFill="1" applyBorder="1" applyAlignment="1" applyProtection="1">
      <alignment horizontal="right" vertical="top"/>
    </xf>
    <xf numFmtId="0" fontId="5" fillId="0" borderId="4" xfId="0" applyNumberFormat="1" applyFont="1" applyFill="1" applyBorder="1" applyAlignment="1" applyProtection="1">
      <alignment horizontal="left" vertical="center" wrapText="1"/>
    </xf>
    <xf numFmtId="0" fontId="5" fillId="0" borderId="33" xfId="0" applyNumberFormat="1" applyFont="1" applyFill="1" applyBorder="1" applyAlignment="1" applyProtection="1">
      <alignment horizontal="center" vertical="top"/>
    </xf>
    <xf numFmtId="0" fontId="5" fillId="0" borderId="4" xfId="0" applyNumberFormat="1" applyFont="1" applyFill="1" applyBorder="1" applyAlignment="1" applyProtection="1">
      <alignment horizontal="left" vertical="center"/>
    </xf>
    <xf numFmtId="0" fontId="5" fillId="2" borderId="9" xfId="0" applyNumberFormat="1" applyFont="1" applyFill="1" applyBorder="1" applyAlignment="1" applyProtection="1">
      <alignment horizontal="center" vertical="top"/>
    </xf>
    <xf numFmtId="0" fontId="4" fillId="0" borderId="35" xfId="0" applyNumberFormat="1" applyFont="1" applyFill="1" applyBorder="1" applyAlignment="1" applyProtection="1">
      <alignment horizontal="right" vertical="top"/>
    </xf>
    <xf numFmtId="2" fontId="5" fillId="2" borderId="4" xfId="0" applyNumberFormat="1" applyFont="1" applyFill="1" applyBorder="1" applyAlignment="1" applyProtection="1">
      <alignment horizontal="center" vertical="top"/>
    </xf>
    <xf numFmtId="2" fontId="5" fillId="2" borderId="4" xfId="1" applyNumberFormat="1" applyFont="1" applyFill="1" applyBorder="1" applyAlignment="1" applyProtection="1">
      <alignment horizontal="center" vertical="top"/>
    </xf>
    <xf numFmtId="164" fontId="5" fillId="0" borderId="10" xfId="0" applyNumberFormat="1" applyFont="1" applyFill="1" applyBorder="1" applyAlignment="1" applyProtection="1">
      <alignment horizontal="right" vertical="top"/>
    </xf>
    <xf numFmtId="166" fontId="5" fillId="0" borderId="10" xfId="0" applyNumberFormat="1" applyFont="1" applyFill="1" applyBorder="1" applyAlignment="1" applyProtection="1">
      <alignment horizontal="right" vertical="center"/>
    </xf>
    <xf numFmtId="166" fontId="5" fillId="2" borderId="9" xfId="0" applyNumberFormat="1" applyFont="1" applyFill="1" applyBorder="1" applyAlignment="1" applyProtection="1">
      <alignment horizontal="right" vertical="top"/>
    </xf>
    <xf numFmtId="166" fontId="5" fillId="2" borderId="11" xfId="0" applyNumberFormat="1" applyFont="1" applyFill="1" applyBorder="1" applyAlignment="1" applyProtection="1">
      <alignment horizontal="right" vertical="top"/>
    </xf>
    <xf numFmtId="164" fontId="2" fillId="3" borderId="34" xfId="0" applyNumberFormat="1" applyFont="1" applyFill="1" applyBorder="1" applyAlignment="1" applyProtection="1">
      <alignment horizontal="right" vertical="top"/>
    </xf>
    <xf numFmtId="164" fontId="5" fillId="2" borderId="9" xfId="0" applyNumberFormat="1" applyFont="1" applyFill="1" applyBorder="1" applyAlignment="1" applyProtection="1">
      <alignment horizontal="right" vertical="center"/>
    </xf>
    <xf numFmtId="164" fontId="5" fillId="2" borderId="11" xfId="0" applyNumberFormat="1" applyFont="1" applyFill="1" applyBorder="1" applyAlignment="1" applyProtection="1">
      <alignment horizontal="right" vertical="center"/>
    </xf>
    <xf numFmtId="0" fontId="5" fillId="0" borderId="38" xfId="0" applyNumberFormat="1" applyFont="1" applyFill="1" applyBorder="1" applyAlignment="1" applyProtection="1">
      <alignment horizontal="left" vertical="top"/>
    </xf>
    <xf numFmtId="0" fontId="2" fillId="0" borderId="12" xfId="0" applyNumberFormat="1" applyFont="1" applyFill="1" applyBorder="1" applyAlignment="1" applyProtection="1">
      <alignment horizontal="center" vertical="top"/>
    </xf>
    <xf numFmtId="0" fontId="3" fillId="0" borderId="32" xfId="0" applyNumberFormat="1" applyFont="1" applyFill="1" applyBorder="1" applyAlignment="1" applyProtection="1">
      <alignment horizontal="left" vertical="top"/>
    </xf>
    <xf numFmtId="0" fontId="5" fillId="0" borderId="39" xfId="0" applyNumberFormat="1" applyFont="1" applyFill="1" applyBorder="1" applyAlignment="1" applyProtection="1">
      <alignment horizontal="center" vertical="top"/>
    </xf>
    <xf numFmtId="164" fontId="5" fillId="0" borderId="40" xfId="0" applyNumberFormat="1" applyFont="1" applyFill="1" applyBorder="1" applyAlignment="1" applyProtection="1">
      <alignment horizontal="right" vertical="top"/>
    </xf>
    <xf numFmtId="164" fontId="5" fillId="0" borderId="41" xfId="0" applyNumberFormat="1" applyFont="1" applyFill="1" applyBorder="1" applyAlignment="1" applyProtection="1">
      <alignment horizontal="right" vertical="top"/>
    </xf>
    <xf numFmtId="164" fontId="5" fillId="0" borderId="42" xfId="0" applyNumberFormat="1" applyFont="1" applyFill="1" applyBorder="1" applyAlignment="1" applyProtection="1">
      <alignment horizontal="right" vertical="top"/>
    </xf>
    <xf numFmtId="0" fontId="5" fillId="0" borderId="43" xfId="0" applyNumberFormat="1" applyFont="1" applyFill="1" applyBorder="1" applyAlignment="1" applyProtection="1">
      <alignment horizontal="center" vertical="top"/>
    </xf>
    <xf numFmtId="164" fontId="5" fillId="0" borderId="44" xfId="0" applyNumberFormat="1" applyFont="1" applyFill="1" applyBorder="1" applyAlignment="1" applyProtection="1">
      <alignment horizontal="right" vertical="top"/>
    </xf>
    <xf numFmtId="164" fontId="5" fillId="0" borderId="45" xfId="0" applyNumberFormat="1" applyFont="1" applyFill="1" applyBorder="1" applyAlignment="1" applyProtection="1">
      <alignment horizontal="right" vertical="top"/>
    </xf>
    <xf numFmtId="0" fontId="5" fillId="0" borderId="13" xfId="0" applyNumberFormat="1" applyFont="1" applyFill="1" applyBorder="1" applyAlignment="1" applyProtection="1">
      <alignment horizontal="left" vertical="center"/>
    </xf>
    <xf numFmtId="166" fontId="5" fillId="0" borderId="24" xfId="0" applyNumberFormat="1" applyFont="1" applyFill="1" applyBorder="1" applyAlignment="1" applyProtection="1">
      <alignment horizontal="right" vertical="center"/>
    </xf>
    <xf numFmtId="0" fontId="5" fillId="0" borderId="14" xfId="0" applyNumberFormat="1" applyFont="1" applyFill="1" applyBorder="1" applyAlignment="1" applyProtection="1">
      <alignment horizontal="left" vertical="center" wrapText="1"/>
    </xf>
    <xf numFmtId="166" fontId="2" fillId="3" borderId="16" xfId="0" applyNumberFormat="1" applyFont="1" applyFill="1" applyBorder="1" applyAlignment="1" applyProtection="1">
      <alignment horizontal="right" vertical="top"/>
    </xf>
    <xf numFmtId="0" fontId="5" fillId="0" borderId="47" xfId="0" applyNumberFormat="1" applyFont="1" applyFill="1" applyBorder="1" applyAlignment="1" applyProtection="1">
      <alignment horizontal="left" vertical="center"/>
    </xf>
    <xf numFmtId="0" fontId="5" fillId="2" borderId="13" xfId="0" applyNumberFormat="1" applyFont="1" applyFill="1" applyBorder="1" applyAlignment="1" applyProtection="1">
      <alignment horizontal="left" vertical="top"/>
    </xf>
    <xf numFmtId="0" fontId="5" fillId="2" borderId="13" xfId="0" applyNumberFormat="1" applyFont="1" applyFill="1" applyBorder="1" applyAlignment="1" applyProtection="1">
      <alignment horizontal="center" vertical="top"/>
    </xf>
    <xf numFmtId="166" fontId="5" fillId="2" borderId="24" xfId="0" applyNumberFormat="1" applyFont="1" applyFill="1" applyBorder="1" applyAlignment="1" applyProtection="1">
      <alignment horizontal="right" vertical="top"/>
    </xf>
    <xf numFmtId="0" fontId="5" fillId="2" borderId="11" xfId="0" applyNumberFormat="1" applyFont="1" applyFill="1" applyBorder="1" applyAlignment="1" applyProtection="1">
      <alignment horizontal="center" vertical="top"/>
    </xf>
    <xf numFmtId="0" fontId="5" fillId="2" borderId="14" xfId="0" applyNumberFormat="1" applyFont="1" applyFill="1" applyBorder="1" applyAlignment="1" applyProtection="1">
      <alignment horizontal="left" vertical="top"/>
    </xf>
    <xf numFmtId="0" fontId="5" fillId="2" borderId="14" xfId="0" applyNumberFormat="1" applyFont="1" applyFill="1" applyBorder="1" applyAlignment="1" applyProtection="1">
      <alignment horizontal="center" vertical="top"/>
    </xf>
    <xf numFmtId="166" fontId="5" fillId="2" borderId="25" xfId="0" applyNumberFormat="1" applyFont="1" applyFill="1" applyBorder="1" applyAlignment="1" applyProtection="1">
      <alignment horizontal="right" vertical="top"/>
    </xf>
    <xf numFmtId="0" fontId="5" fillId="2" borderId="19" xfId="0" applyNumberFormat="1" applyFont="1" applyFill="1" applyBorder="1" applyAlignment="1" applyProtection="1">
      <alignment horizontal="left" vertical="top"/>
    </xf>
    <xf numFmtId="0" fontId="5" fillId="2" borderId="31" xfId="0" applyNumberFormat="1" applyFont="1" applyFill="1" applyBorder="1" applyAlignment="1" applyProtection="1">
      <alignment horizontal="center" vertical="top"/>
    </xf>
    <xf numFmtId="166" fontId="5" fillId="2" borderId="31" xfId="0" applyNumberFormat="1" applyFont="1" applyFill="1" applyBorder="1" applyAlignment="1" applyProtection="1">
      <alignment horizontal="right" vertical="top"/>
    </xf>
    <xf numFmtId="166" fontId="5" fillId="2" borderId="20" xfId="0" applyNumberFormat="1" applyFont="1" applyFill="1" applyBorder="1" applyAlignment="1" applyProtection="1">
      <alignment horizontal="right" vertical="top"/>
    </xf>
    <xf numFmtId="166" fontId="5" fillId="0" borderId="40" xfId="0" applyNumberFormat="1" applyFont="1" applyFill="1" applyBorder="1" applyAlignment="1" applyProtection="1">
      <alignment horizontal="right" vertical="top"/>
    </xf>
    <xf numFmtId="166" fontId="5" fillId="0" borderId="41" xfId="0" applyNumberFormat="1" applyFont="1" applyFill="1" applyBorder="1" applyAlignment="1" applyProtection="1">
      <alignment horizontal="right" vertical="top"/>
    </xf>
    <xf numFmtId="166" fontId="5" fillId="0" borderId="42" xfId="0" applyNumberFormat="1" applyFont="1" applyFill="1" applyBorder="1" applyAlignment="1" applyProtection="1">
      <alignment horizontal="right" vertical="top"/>
    </xf>
    <xf numFmtId="166" fontId="5" fillId="0" borderId="44" xfId="0" applyNumberFormat="1" applyFont="1" applyFill="1" applyBorder="1" applyAlignment="1" applyProtection="1">
      <alignment horizontal="right" vertical="top"/>
    </xf>
    <xf numFmtId="166" fontId="5" fillId="0" borderId="45" xfId="0" applyNumberFormat="1" applyFont="1" applyFill="1" applyBorder="1" applyAlignment="1" applyProtection="1">
      <alignment horizontal="right" vertical="top"/>
    </xf>
    <xf numFmtId="0" fontId="2" fillId="2" borderId="15" xfId="0" applyNumberFormat="1" applyFont="1" applyFill="1" applyBorder="1" applyAlignment="1" applyProtection="1">
      <alignment horizontal="center" vertical="center"/>
    </xf>
    <xf numFmtId="0" fontId="2" fillId="2" borderId="2" xfId="0" applyNumberFormat="1" applyFont="1" applyFill="1" applyBorder="1" applyAlignment="1" applyProtection="1">
      <alignment horizontal="left" vertical="center"/>
    </xf>
    <xf numFmtId="0" fontId="3" fillId="2" borderId="8" xfId="0" applyNumberFormat="1" applyFont="1" applyFill="1" applyBorder="1" applyAlignment="1" applyProtection="1">
      <alignment horizontal="left" vertical="top"/>
    </xf>
    <xf numFmtId="0" fontId="3" fillId="2" borderId="18" xfId="0" applyNumberFormat="1" applyFont="1" applyFill="1" applyBorder="1" applyAlignment="1" applyProtection="1">
      <alignment horizontal="left" vertical="top"/>
    </xf>
    <xf numFmtId="166" fontId="2" fillId="2" borderId="20" xfId="0" applyNumberFormat="1" applyFont="1" applyFill="1" applyBorder="1" applyAlignment="1" applyProtection="1">
      <alignment horizontal="right" vertical="top"/>
    </xf>
    <xf numFmtId="0" fontId="2" fillId="0" borderId="5" xfId="0" applyNumberFormat="1" applyFont="1" applyFill="1" applyBorder="1" applyAlignment="1" applyProtection="1">
      <alignment horizontal="left" vertical="top"/>
    </xf>
    <xf numFmtId="0" fontId="5" fillId="0" borderId="8" xfId="0" applyNumberFormat="1" applyFont="1" applyFill="1" applyBorder="1" applyAlignment="1" applyProtection="1">
      <alignment horizontal="center" vertical="center"/>
    </xf>
    <xf numFmtId="0" fontId="5" fillId="0" borderId="18" xfId="0" applyNumberFormat="1" applyFont="1" applyFill="1" applyBorder="1" applyAlignment="1" applyProtection="1">
      <alignment horizontal="left" vertical="center" wrapText="1"/>
    </xf>
    <xf numFmtId="0" fontId="5" fillId="0" borderId="18" xfId="0" applyNumberFormat="1" applyFont="1" applyFill="1" applyBorder="1" applyAlignment="1" applyProtection="1">
      <alignment horizontal="center" vertical="center"/>
    </xf>
    <xf numFmtId="164" fontId="5" fillId="2" borderId="21" xfId="0" applyNumberFormat="1" applyFont="1" applyFill="1" applyBorder="1" applyAlignment="1" applyProtection="1">
      <alignment horizontal="right" vertical="center"/>
    </xf>
    <xf numFmtId="0" fontId="2" fillId="0" borderId="30" xfId="0" applyNumberFormat="1" applyFont="1" applyFill="1" applyBorder="1" applyAlignment="1" applyProtection="1">
      <alignment horizontal="left" vertical="top"/>
    </xf>
    <xf numFmtId="0" fontId="4" fillId="0" borderId="12" xfId="0" applyNumberFormat="1" applyFont="1" applyFill="1" applyBorder="1" applyAlignment="1" applyProtection="1">
      <alignment horizontal="right" vertical="top"/>
    </xf>
    <xf numFmtId="0" fontId="4" fillId="0" borderId="36" xfId="0" applyNumberFormat="1" applyFont="1" applyFill="1" applyBorder="1" applyAlignment="1" applyProtection="1">
      <alignment horizontal="right" vertical="top"/>
    </xf>
    <xf numFmtId="0" fontId="5" fillId="0" borderId="13" xfId="0" applyNumberFormat="1" applyFont="1" applyFill="1" applyBorder="1" applyAlignment="1" applyProtection="1">
      <alignment horizontal="left" vertical="top" wrapText="1"/>
    </xf>
    <xf numFmtId="164" fontId="2" fillId="3" borderId="20" xfId="0" applyNumberFormat="1" applyFont="1" applyFill="1" applyBorder="1" applyAlignment="1" applyProtection="1">
      <alignment horizontal="right" vertical="top"/>
    </xf>
    <xf numFmtId="0" fontId="5" fillId="0" borderId="49" xfId="0" applyNumberFormat="1" applyFont="1" applyFill="1" applyBorder="1" applyAlignment="1" applyProtection="1">
      <alignment horizontal="left" vertical="top" wrapText="1"/>
    </xf>
    <xf numFmtId="0" fontId="5" fillId="0" borderId="30" xfId="0" applyNumberFormat="1" applyFont="1" applyFill="1" applyBorder="1" applyAlignment="1" applyProtection="1">
      <alignment horizontal="center" vertical="top"/>
    </xf>
    <xf numFmtId="164" fontId="5" fillId="0" borderId="12" xfId="0" applyNumberFormat="1" applyFont="1" applyFill="1" applyBorder="1" applyAlignment="1" applyProtection="1">
      <alignment horizontal="right" vertical="top"/>
    </xf>
    <xf numFmtId="166" fontId="5" fillId="0" borderId="29" xfId="0" applyNumberFormat="1" applyFont="1" applyFill="1" applyBorder="1" applyAlignment="1" applyProtection="1">
      <alignment horizontal="right" vertical="top"/>
    </xf>
    <xf numFmtId="0" fontId="2" fillId="0" borderId="15" xfId="0" applyNumberFormat="1" applyFont="1" applyFill="1" applyBorder="1" applyAlignment="1" applyProtection="1">
      <alignment horizontal="center" vertical="top"/>
    </xf>
    <xf numFmtId="0" fontId="6" fillId="0" borderId="0" xfId="0" applyNumberFormat="1" applyFont="1" applyFill="1" applyBorder="1" applyAlignment="1" applyProtection="1">
      <alignment horizontal="left" vertical="top"/>
    </xf>
    <xf numFmtId="0" fontId="2" fillId="0" borderId="2" xfId="0" applyNumberFormat="1" applyFont="1" applyFill="1" applyBorder="1" applyAlignment="1" applyProtection="1">
      <alignment horizontal="right" vertical="top"/>
    </xf>
    <xf numFmtId="0" fontId="2" fillId="0" borderId="16" xfId="0" applyNumberFormat="1" applyFont="1" applyFill="1" applyBorder="1" applyAlignment="1" applyProtection="1">
      <alignment horizontal="right" vertical="top"/>
    </xf>
    <xf numFmtId="0" fontId="3" fillId="0" borderId="40" xfId="0" applyNumberFormat="1" applyFont="1" applyFill="1" applyBorder="1" applyAlignment="1" applyProtection="1">
      <alignment horizontal="left" vertical="top"/>
    </xf>
    <xf numFmtId="0" fontId="2" fillId="0" borderId="51" xfId="0" applyNumberFormat="1" applyFont="1" applyFill="1" applyBorder="1" applyAlignment="1" applyProtection="1">
      <alignment horizontal="left" vertical="top"/>
    </xf>
    <xf numFmtId="0" fontId="3" fillId="0" borderId="44" xfId="0" applyNumberFormat="1" applyFont="1" applyFill="1" applyBorder="1" applyAlignment="1" applyProtection="1">
      <alignment horizontal="left" vertical="top"/>
    </xf>
    <xf numFmtId="166" fontId="2" fillId="2" borderId="16" xfId="0" applyNumberFormat="1" applyFont="1" applyFill="1" applyBorder="1" applyAlignment="1" applyProtection="1">
      <alignment horizontal="right" vertical="top"/>
    </xf>
    <xf numFmtId="0" fontId="5" fillId="0" borderId="53" xfId="0" applyNumberFormat="1" applyFont="1" applyFill="1" applyBorder="1" applyAlignment="1" applyProtection="1">
      <alignment horizontal="left" vertical="top"/>
    </xf>
    <xf numFmtId="0" fontId="5" fillId="0" borderId="3" xfId="0" applyNumberFormat="1" applyFont="1" applyFill="1" applyBorder="1" applyAlignment="1" applyProtection="1">
      <alignment horizontal="center" vertical="top"/>
    </xf>
    <xf numFmtId="164" fontId="5" fillId="0" borderId="32" xfId="0" applyNumberFormat="1" applyFont="1" applyFill="1" applyBorder="1" applyAlignment="1" applyProtection="1">
      <alignment horizontal="right" vertical="top"/>
    </xf>
    <xf numFmtId="166" fontId="5" fillId="0" borderId="54" xfId="0" applyNumberFormat="1" applyFont="1" applyFill="1" applyBorder="1" applyAlignment="1" applyProtection="1">
      <alignment horizontal="right" vertical="top"/>
    </xf>
    <xf numFmtId="0" fontId="2" fillId="0" borderId="28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vertical="center" wrapText="1"/>
    </xf>
    <xf numFmtId="0" fontId="1" fillId="0" borderId="21" xfId="0" applyNumberFormat="1" applyFont="1" applyFill="1" applyBorder="1" applyAlignment="1" applyProtection="1">
      <alignment vertical="center" wrapText="1"/>
    </xf>
    <xf numFmtId="0" fontId="2" fillId="3" borderId="19" xfId="0" applyNumberFormat="1" applyFont="1" applyFill="1" applyBorder="1" applyAlignment="1" applyProtection="1">
      <alignment horizontal="right" vertical="top"/>
    </xf>
    <xf numFmtId="0" fontId="2" fillId="3" borderId="31" xfId="0" applyNumberFormat="1" applyFont="1" applyFill="1" applyBorder="1" applyAlignment="1" applyProtection="1">
      <alignment horizontal="right" vertical="top"/>
    </xf>
    <xf numFmtId="0" fontId="2" fillId="0" borderId="2" xfId="0" applyNumberFormat="1" applyFont="1" applyFill="1" applyBorder="1" applyAlignment="1" applyProtection="1">
      <alignment horizontal="left" vertical="top"/>
    </xf>
    <xf numFmtId="0" fontId="2" fillId="0" borderId="16" xfId="0" applyNumberFormat="1" applyFont="1" applyFill="1" applyBorder="1" applyAlignment="1" applyProtection="1">
      <alignment horizontal="left" vertical="top"/>
    </xf>
    <xf numFmtId="0" fontId="2" fillId="3" borderId="37" xfId="0" applyNumberFormat="1" applyFont="1" applyFill="1" applyBorder="1" applyAlignment="1" applyProtection="1">
      <alignment horizontal="right" vertical="top"/>
    </xf>
    <xf numFmtId="0" fontId="2" fillId="3" borderId="34" xfId="0" applyNumberFormat="1" applyFont="1" applyFill="1" applyBorder="1" applyAlignment="1" applyProtection="1">
      <alignment horizontal="right" vertical="top"/>
    </xf>
    <xf numFmtId="0" fontId="2" fillId="0" borderId="19" xfId="0" applyNumberFormat="1" applyFont="1" applyFill="1" applyBorder="1" applyAlignment="1" applyProtection="1">
      <alignment horizontal="left" vertical="top"/>
    </xf>
    <xf numFmtId="0" fontId="2" fillId="0" borderId="31" xfId="0" applyNumberFormat="1" applyFont="1" applyFill="1" applyBorder="1" applyAlignment="1" applyProtection="1">
      <alignment horizontal="left" vertical="top"/>
    </xf>
    <xf numFmtId="0" fontId="2" fillId="0" borderId="2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horizontal="left" vertical="top"/>
    </xf>
    <xf numFmtId="0" fontId="2" fillId="0" borderId="50" xfId="0" applyNumberFormat="1" applyFont="1" applyFill="1" applyBorder="1" applyAlignment="1" applyProtection="1">
      <alignment horizontal="left" vertical="top"/>
    </xf>
    <xf numFmtId="0" fontId="2" fillId="0" borderId="40" xfId="0" applyNumberFormat="1" applyFont="1" applyFill="1" applyBorder="1" applyAlignment="1" applyProtection="1">
      <alignment horizontal="left" vertical="top"/>
    </xf>
    <xf numFmtId="0" fontId="2" fillId="0" borderId="52" xfId="0" applyNumberFormat="1" applyFont="1" applyFill="1" applyBorder="1" applyAlignment="1" applyProtection="1">
      <alignment horizontal="left" vertical="top"/>
    </xf>
    <xf numFmtId="0" fontId="2" fillId="0" borderId="44" xfId="0" applyNumberFormat="1" applyFont="1" applyFill="1" applyBorder="1" applyAlignment="1" applyProtection="1">
      <alignment horizontal="left" vertical="top"/>
    </xf>
    <xf numFmtId="0" fontId="2" fillId="3" borderId="2" xfId="0" applyNumberFormat="1" applyFont="1" applyFill="1" applyBorder="1" applyAlignment="1" applyProtection="1">
      <alignment horizontal="right" vertical="top"/>
    </xf>
    <xf numFmtId="0" fontId="2" fillId="3" borderId="16" xfId="0" applyNumberFormat="1" applyFont="1" applyFill="1" applyBorder="1" applyAlignment="1" applyProtection="1">
      <alignment horizontal="right" vertical="top"/>
    </xf>
    <xf numFmtId="0" fontId="4" fillId="0" borderId="31" xfId="0" applyNumberFormat="1" applyFont="1" applyFill="1" applyBorder="1" applyAlignment="1" applyProtection="1">
      <alignment horizontal="right" vertical="center"/>
    </xf>
    <xf numFmtId="0" fontId="4" fillId="0" borderId="20" xfId="0" applyNumberFormat="1" applyFont="1" applyFill="1" applyBorder="1" applyAlignment="1" applyProtection="1">
      <alignment horizontal="right" vertical="center"/>
    </xf>
    <xf numFmtId="0" fontId="2" fillId="3" borderId="7" xfId="0" applyNumberFormat="1" applyFont="1" applyFill="1" applyBorder="1" applyAlignment="1" applyProtection="1">
      <alignment horizontal="right" vertical="top"/>
    </xf>
    <xf numFmtId="0" fontId="2" fillId="3" borderId="26" xfId="0" applyNumberFormat="1" applyFont="1" applyFill="1" applyBorder="1" applyAlignment="1" applyProtection="1">
      <alignment horizontal="right" vertical="top"/>
    </xf>
    <xf numFmtId="0" fontId="4" fillId="2" borderId="16" xfId="0" applyNumberFormat="1" applyFont="1" applyFill="1" applyBorder="1" applyAlignment="1" applyProtection="1">
      <alignment horizontal="center" vertical="center"/>
    </xf>
    <xf numFmtId="0" fontId="2" fillId="2" borderId="16" xfId="0" applyNumberFormat="1" applyFont="1" applyFill="1" applyBorder="1" applyAlignment="1" applyProtection="1">
      <alignment horizontal="right" vertical="top"/>
    </xf>
    <xf numFmtId="0" fontId="4" fillId="0" borderId="46" xfId="0" applyNumberFormat="1" applyFont="1" applyFill="1" applyBorder="1" applyAlignment="1" applyProtection="1">
      <alignment horizontal="right" vertical="center"/>
    </xf>
    <xf numFmtId="0" fontId="4" fillId="0" borderId="48" xfId="0" applyNumberFormat="1" applyFont="1" applyFill="1" applyBorder="1" applyAlignment="1" applyProtection="1">
      <alignment horizontal="right" vertical="center"/>
    </xf>
    <xf numFmtId="0" fontId="2" fillId="2" borderId="19" xfId="0" applyNumberFormat="1" applyFont="1" applyFill="1" applyBorder="1" applyAlignment="1" applyProtection="1">
      <alignment horizontal="right" vertical="top"/>
    </xf>
    <xf numFmtId="0" fontId="2" fillId="2" borderId="31" xfId="0" applyNumberFormat="1" applyFont="1" applyFill="1" applyBorder="1" applyAlignment="1" applyProtection="1">
      <alignment horizontal="right" vertical="top"/>
    </xf>
    <xf numFmtId="0" fontId="10" fillId="4" borderId="28" xfId="0" applyFont="1" applyFill="1" applyBorder="1" applyAlignment="1">
      <alignment horizontal="center" vertical="center" wrapText="1"/>
    </xf>
    <xf numFmtId="0" fontId="3" fillId="4" borderId="18" xfId="0" applyNumberFormat="1" applyFont="1" applyFill="1" applyBorder="1" applyAlignment="1" applyProtection="1">
      <alignment horizontal="center" vertical="center" wrapText="1"/>
    </xf>
    <xf numFmtId="0" fontId="3" fillId="4" borderId="21" xfId="0" applyNumberFormat="1" applyFont="1" applyFill="1" applyBorder="1" applyAlignment="1" applyProtection="1">
      <alignment horizontal="center" vertical="center" wrapText="1"/>
    </xf>
    <xf numFmtId="0" fontId="11" fillId="0" borderId="50" xfId="0" applyFont="1" applyBorder="1" applyAlignment="1">
      <alignment horizontal="left" vertical="center" wrapText="1"/>
    </xf>
    <xf numFmtId="0" fontId="11" fillId="0" borderId="41" xfId="0" applyFont="1" applyBorder="1" applyAlignment="1">
      <alignment horizontal="left" vertical="center" wrapText="1"/>
    </xf>
    <xf numFmtId="0" fontId="12" fillId="0" borderId="55" xfId="0" applyFont="1" applyBorder="1" applyAlignment="1">
      <alignment horizontal="left" vertical="center" wrapText="1"/>
    </xf>
    <xf numFmtId="0" fontId="5" fillId="0" borderId="13" xfId="0" applyNumberFormat="1" applyFont="1" applyFill="1" applyBorder="1" applyAlignment="1" applyProtection="1">
      <alignment horizontal="left" vertical="center" wrapText="1"/>
    </xf>
    <xf numFmtId="0" fontId="5" fillId="0" borderId="39" xfId="0" applyNumberFormat="1" applyFont="1" applyFill="1" applyBorder="1" applyAlignment="1" applyProtection="1">
      <alignment horizontal="left" vertical="center" wrapText="1"/>
    </xf>
    <xf numFmtId="0" fontId="11" fillId="0" borderId="51" xfId="0" applyFont="1" applyBorder="1" applyAlignment="1">
      <alignment horizontal="left" vertical="center" wrapText="1"/>
    </xf>
    <xf numFmtId="0" fontId="11" fillId="0" borderId="42" xfId="0" applyFont="1" applyBorder="1" applyAlignment="1">
      <alignment horizontal="left" vertical="center" wrapText="1"/>
    </xf>
    <xf numFmtId="0" fontId="12" fillId="0" borderId="38" xfId="0" applyFont="1" applyBorder="1" applyAlignment="1">
      <alignment horizontal="left"/>
    </xf>
    <xf numFmtId="0" fontId="5" fillId="0" borderId="4" xfId="0" applyNumberFormat="1" applyFont="1" applyFill="1" applyBorder="1" applyAlignment="1" applyProtection="1">
      <alignment horizontal="left"/>
    </xf>
    <xf numFmtId="0" fontId="5" fillId="0" borderId="33" xfId="0" applyNumberFormat="1" applyFont="1" applyFill="1" applyBorder="1" applyAlignment="1" applyProtection="1">
      <alignment horizontal="left"/>
    </xf>
    <xf numFmtId="0" fontId="13" fillId="0" borderId="57" xfId="0" applyFont="1" applyBorder="1" applyAlignment="1">
      <alignment horizontal="center" vertical="center" wrapText="1"/>
    </xf>
    <xf numFmtId="0" fontId="14" fillId="0" borderId="5" xfId="0" applyNumberFormat="1" applyFont="1" applyFill="1" applyBorder="1" applyAlignment="1" applyProtection="1">
      <alignment vertical="center" wrapText="1"/>
    </xf>
    <xf numFmtId="0" fontId="11" fillId="0" borderId="52" xfId="0" applyFont="1" applyBorder="1" applyAlignment="1">
      <alignment horizontal="left" vertical="center" wrapText="1"/>
    </xf>
    <xf numFmtId="0" fontId="11" fillId="0" borderId="45" xfId="0" applyFont="1" applyBorder="1" applyAlignment="1">
      <alignment horizontal="left" vertical="center" wrapText="1"/>
    </xf>
    <xf numFmtId="0" fontId="12" fillId="0" borderId="56" xfId="0" applyFont="1" applyBorder="1" applyAlignment="1">
      <alignment horizontal="left" wrapText="1"/>
    </xf>
    <xf numFmtId="0" fontId="5" fillId="0" borderId="14" xfId="0" applyNumberFormat="1" applyFont="1" applyFill="1" applyBorder="1" applyAlignment="1" applyProtection="1">
      <alignment horizontal="left" wrapText="1"/>
    </xf>
    <xf numFmtId="0" fontId="5" fillId="0" borderId="43" xfId="0" applyNumberFormat="1" applyFont="1" applyFill="1" applyBorder="1" applyAlignment="1" applyProtection="1">
      <alignment horizontal="left" wrapText="1"/>
    </xf>
    <xf numFmtId="0" fontId="10" fillId="0" borderId="28" xfId="0" applyFont="1" applyBorder="1" applyAlignment="1">
      <alignment horizontal="center" wrapText="1"/>
    </xf>
    <xf numFmtId="0" fontId="3" fillId="0" borderId="18" xfId="0" applyNumberFormat="1" applyFont="1" applyFill="1" applyBorder="1" applyAlignment="1" applyProtection="1">
      <alignment wrapText="1"/>
    </xf>
    <xf numFmtId="0" fontId="12" fillId="0" borderId="28" xfId="0" applyFont="1" applyBorder="1" applyAlignment="1">
      <alignment horizontal="left" vertical="top" wrapText="1"/>
    </xf>
    <xf numFmtId="0" fontId="5" fillId="0" borderId="18" xfId="0" applyNumberFormat="1" applyFont="1" applyFill="1" applyBorder="1" applyAlignment="1" applyProtection="1">
      <alignment vertical="top" wrapText="1"/>
    </xf>
    <xf numFmtId="0" fontId="13" fillId="0" borderId="28" xfId="0" applyFont="1" applyBorder="1" applyAlignment="1">
      <alignment horizontal="left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8563429</xdr:colOff>
      <xdr:row>65</xdr:row>
      <xdr:rowOff>1161144</xdr:rowOff>
    </xdr:from>
    <xdr:to>
      <xdr:col>3</xdr:col>
      <xdr:colOff>526143</xdr:colOff>
      <xdr:row>66</xdr:row>
      <xdr:rowOff>643619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02AE21-F878-5B37-128E-11EE7C09D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8286" y="28175858"/>
          <a:ext cx="3302000" cy="89761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332619</xdr:colOff>
      <xdr:row>1</xdr:row>
      <xdr:rowOff>332619</xdr:rowOff>
    </xdr:from>
    <xdr:to>
      <xdr:col>1</xdr:col>
      <xdr:colOff>3084285</xdr:colOff>
      <xdr:row>1</xdr:row>
      <xdr:rowOff>1799166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43B697F6-1BC2-4855-B518-EB3079F46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619" y="498929"/>
          <a:ext cx="3900714" cy="14665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8"/>
  <sheetViews>
    <sheetView tabSelected="1" view="pageBreakPreview" zoomScale="42" zoomScaleNormal="46" zoomScaleSheetLayoutView="42" zoomScalePageLayoutView="75" workbookViewId="0">
      <selection activeCell="A2" sqref="A2:F2"/>
    </sheetView>
  </sheetViews>
  <sheetFormatPr baseColWidth="10" defaultRowHeight="12.5" x14ac:dyDescent="0.25"/>
  <cols>
    <col min="1" max="1" width="16.36328125" customWidth="1"/>
    <col min="2" max="2" width="140.6328125" customWidth="1"/>
    <col min="3" max="3" width="24.6328125" customWidth="1"/>
    <col min="4" max="4" width="38.36328125" customWidth="1"/>
    <col min="5" max="5" width="45.6328125" customWidth="1"/>
    <col min="6" max="6" width="60.08984375" customWidth="1"/>
    <col min="7" max="7" width="23.36328125" customWidth="1"/>
    <col min="8" max="8" width="16.08984375" customWidth="1"/>
  </cols>
  <sheetData>
    <row r="1" spans="1:8" ht="13" thickBot="1" x14ac:dyDescent="0.3"/>
    <row r="2" spans="1:8" ht="158.4" customHeight="1" thickBot="1" x14ac:dyDescent="0.3">
      <c r="A2" s="141" t="s">
        <v>108</v>
      </c>
      <c r="B2" s="142"/>
      <c r="C2" s="142"/>
      <c r="D2" s="142"/>
      <c r="E2" s="142"/>
      <c r="F2" s="143"/>
    </row>
    <row r="3" spans="1:8" ht="44.25" customHeight="1" thickBot="1" x14ac:dyDescent="0.3">
      <c r="A3" s="39" t="s">
        <v>19</v>
      </c>
      <c r="B3" s="62" t="s">
        <v>20</v>
      </c>
      <c r="C3" s="61" t="s">
        <v>15</v>
      </c>
      <c r="D3" s="62" t="s">
        <v>18</v>
      </c>
      <c r="E3" s="61" t="s">
        <v>16</v>
      </c>
      <c r="F3" s="63" t="s">
        <v>17</v>
      </c>
    </row>
    <row r="4" spans="1:8" ht="29" thickBot="1" x14ac:dyDescent="0.3">
      <c r="A4" s="60"/>
      <c r="B4" s="115" t="s">
        <v>26</v>
      </c>
      <c r="C4" s="33"/>
      <c r="D4" s="34"/>
      <c r="E4" s="33"/>
      <c r="F4" s="35"/>
    </row>
    <row r="5" spans="1:8" ht="54.5" thickBot="1" x14ac:dyDescent="0.3">
      <c r="A5" s="116" t="s">
        <v>47</v>
      </c>
      <c r="B5" s="117" t="s">
        <v>90</v>
      </c>
      <c r="C5" s="116" t="s">
        <v>12</v>
      </c>
      <c r="D5" s="118">
        <v>2</v>
      </c>
      <c r="E5" s="48">
        <v>1500000</v>
      </c>
      <c r="F5" s="119">
        <f>D5*E5</f>
        <v>3000000</v>
      </c>
    </row>
    <row r="6" spans="1:8" ht="27.5" x14ac:dyDescent="0.25">
      <c r="A6" s="81"/>
      <c r="B6" s="57"/>
      <c r="C6" s="81"/>
      <c r="D6" s="148" t="s">
        <v>32</v>
      </c>
      <c r="E6" s="149"/>
      <c r="F6" s="76">
        <f>SUM(F5)</f>
        <v>3000000</v>
      </c>
    </row>
    <row r="7" spans="1:8" ht="29" thickBot="1" x14ac:dyDescent="0.3">
      <c r="A7" s="80"/>
      <c r="B7" s="120" t="s">
        <v>4</v>
      </c>
      <c r="C7" s="121"/>
      <c r="D7" s="122"/>
      <c r="E7" s="69"/>
      <c r="F7" s="69"/>
    </row>
    <row r="8" spans="1:8" ht="54" x14ac:dyDescent="0.25">
      <c r="A8" s="11" t="s">
        <v>48</v>
      </c>
      <c r="B8" s="123" t="s">
        <v>91</v>
      </c>
      <c r="C8" s="18" t="s">
        <v>0</v>
      </c>
      <c r="D8" s="36">
        <v>2</v>
      </c>
      <c r="E8" s="58">
        <v>420000</v>
      </c>
      <c r="F8" s="77">
        <f t="shared" ref="F8:F9" si="0">D8*E8</f>
        <v>840000</v>
      </c>
    </row>
    <row r="9" spans="1:8" ht="54.5" thickBot="1" x14ac:dyDescent="0.3">
      <c r="A9" s="6" t="s">
        <v>49</v>
      </c>
      <c r="B9" s="91" t="s">
        <v>92</v>
      </c>
      <c r="C9" s="5" t="s">
        <v>0</v>
      </c>
      <c r="D9" s="37">
        <v>8</v>
      </c>
      <c r="E9" s="46">
        <v>420000</v>
      </c>
      <c r="F9" s="78">
        <f t="shared" si="0"/>
        <v>3360000</v>
      </c>
      <c r="H9" s="32"/>
    </row>
    <row r="10" spans="1:8" ht="28" thickBot="1" x14ac:dyDescent="0.3">
      <c r="A10" s="17"/>
      <c r="B10" s="41"/>
      <c r="C10" s="17"/>
      <c r="D10" s="144" t="s">
        <v>31</v>
      </c>
      <c r="E10" s="145"/>
      <c r="F10" s="124">
        <f>SUM(F8:F9)</f>
        <v>4200000</v>
      </c>
      <c r="G10" s="52"/>
    </row>
    <row r="11" spans="1:8" ht="27.5" thickBot="1" x14ac:dyDescent="0.3">
      <c r="A11" s="1"/>
      <c r="B11" s="150" t="s">
        <v>45</v>
      </c>
      <c r="C11" s="151"/>
      <c r="D11" s="151"/>
      <c r="E11" s="151"/>
      <c r="F11" s="152"/>
    </row>
    <row r="12" spans="1:8" ht="27" x14ac:dyDescent="0.25">
      <c r="A12" s="59" t="s">
        <v>50</v>
      </c>
      <c r="B12" s="137" t="s">
        <v>9</v>
      </c>
      <c r="C12" s="59" t="s">
        <v>11</v>
      </c>
      <c r="D12" s="138">
        <v>20</v>
      </c>
      <c r="E12" s="139">
        <v>23296</v>
      </c>
      <c r="F12" s="140">
        <f t="shared" ref="F12" si="1">D12*E12</f>
        <v>465920</v>
      </c>
    </row>
    <row r="13" spans="1:8" ht="27" x14ac:dyDescent="0.25">
      <c r="A13" s="3" t="s">
        <v>51</v>
      </c>
      <c r="B13" s="79" t="s">
        <v>5</v>
      </c>
      <c r="C13" s="3" t="s">
        <v>2</v>
      </c>
      <c r="D13" s="70">
        <v>65</v>
      </c>
      <c r="E13" s="72">
        <v>81648</v>
      </c>
      <c r="F13" s="21">
        <f t="shared" ref="F13:F19" si="2">D13*E13</f>
        <v>5307120</v>
      </c>
    </row>
    <row r="14" spans="1:8" ht="27" x14ac:dyDescent="0.25">
      <c r="A14" s="3" t="s">
        <v>52</v>
      </c>
      <c r="B14" s="79" t="s">
        <v>6</v>
      </c>
      <c r="C14" s="3" t="s">
        <v>2</v>
      </c>
      <c r="D14" s="70">
        <v>12</v>
      </c>
      <c r="E14" s="72">
        <v>101433</v>
      </c>
      <c r="F14" s="21">
        <f t="shared" si="2"/>
        <v>1217196</v>
      </c>
    </row>
    <row r="15" spans="1:8" ht="27" x14ac:dyDescent="0.25">
      <c r="A15" s="3" t="s">
        <v>53</v>
      </c>
      <c r="B15" s="79" t="s">
        <v>7</v>
      </c>
      <c r="C15" s="3" t="s">
        <v>2</v>
      </c>
      <c r="D15" s="70">
        <v>52</v>
      </c>
      <c r="E15" s="72">
        <v>109000</v>
      </c>
      <c r="F15" s="21">
        <f t="shared" si="2"/>
        <v>5668000</v>
      </c>
    </row>
    <row r="16" spans="1:8" ht="27" x14ac:dyDescent="0.25">
      <c r="A16" s="3" t="s">
        <v>54</v>
      </c>
      <c r="B16" s="79" t="s">
        <v>36</v>
      </c>
      <c r="C16" s="3" t="s">
        <v>2</v>
      </c>
      <c r="D16" s="70">
        <v>4</v>
      </c>
      <c r="E16" s="72">
        <v>123900</v>
      </c>
      <c r="F16" s="21">
        <f t="shared" si="2"/>
        <v>495600</v>
      </c>
    </row>
    <row r="17" spans="1:7" ht="27" x14ac:dyDescent="0.25">
      <c r="A17" s="3" t="s">
        <v>55</v>
      </c>
      <c r="B17" s="79" t="s">
        <v>34</v>
      </c>
      <c r="C17" s="3" t="s">
        <v>2</v>
      </c>
      <c r="D17" s="70">
        <v>17</v>
      </c>
      <c r="E17" s="72">
        <v>138000</v>
      </c>
      <c r="F17" s="21">
        <f t="shared" ref="F17" si="3">D17*E17</f>
        <v>2346000</v>
      </c>
    </row>
    <row r="18" spans="1:7" ht="27" x14ac:dyDescent="0.25">
      <c r="A18" s="3" t="s">
        <v>56</v>
      </c>
      <c r="B18" s="79" t="s">
        <v>8</v>
      </c>
      <c r="C18" s="3" t="s">
        <v>2</v>
      </c>
      <c r="D18" s="71">
        <v>16</v>
      </c>
      <c r="E18" s="72">
        <v>156000</v>
      </c>
      <c r="F18" s="21">
        <f t="shared" si="2"/>
        <v>2496000</v>
      </c>
    </row>
    <row r="19" spans="1:7" ht="27" x14ac:dyDescent="0.25">
      <c r="A19" s="3" t="s">
        <v>57</v>
      </c>
      <c r="B19" s="79" t="s">
        <v>75</v>
      </c>
      <c r="C19" s="3" t="s">
        <v>2</v>
      </c>
      <c r="D19" s="71">
        <v>4</v>
      </c>
      <c r="E19" s="72">
        <v>228000</v>
      </c>
      <c r="F19" s="21">
        <f t="shared" si="2"/>
        <v>912000</v>
      </c>
      <c r="G19" s="51">
        <f>SUM(D12:D19)</f>
        <v>190</v>
      </c>
    </row>
    <row r="20" spans="1:7" ht="27" x14ac:dyDescent="0.25">
      <c r="A20" s="3" t="s">
        <v>58</v>
      </c>
      <c r="B20" s="79" t="s">
        <v>97</v>
      </c>
      <c r="C20" s="3" t="s">
        <v>38</v>
      </c>
      <c r="D20" s="71">
        <v>48</v>
      </c>
      <c r="E20" s="72">
        <v>35000</v>
      </c>
      <c r="F20" s="21">
        <f t="shared" ref="F20" si="4">D20*E20</f>
        <v>1680000</v>
      </c>
      <c r="G20" s="51"/>
    </row>
    <row r="21" spans="1:7" ht="28" thickBot="1" x14ac:dyDescent="0.3">
      <c r="A21" s="40" t="s">
        <v>95</v>
      </c>
      <c r="B21" s="125" t="s">
        <v>89</v>
      </c>
      <c r="C21" s="40" t="s">
        <v>37</v>
      </c>
      <c r="D21" s="126">
        <v>12</v>
      </c>
      <c r="E21" s="127">
        <v>115000</v>
      </c>
      <c r="F21" s="128">
        <f t="shared" ref="F21" si="5">D21*E21</f>
        <v>1380000</v>
      </c>
      <c r="G21" s="49"/>
    </row>
    <row r="22" spans="1:7" ht="28" thickBot="1" x14ac:dyDescent="0.3">
      <c r="A22" s="17"/>
      <c r="B22" s="41"/>
      <c r="C22" s="17"/>
      <c r="D22" s="144" t="s">
        <v>28</v>
      </c>
      <c r="E22" s="145"/>
      <c r="F22" s="42">
        <f>SUM(F12:F21)</f>
        <v>21967836</v>
      </c>
    </row>
    <row r="23" spans="1:7" ht="34.75" customHeight="1" thickBot="1" x14ac:dyDescent="0.3">
      <c r="A23" s="129"/>
      <c r="B23" s="146" t="s">
        <v>10</v>
      </c>
      <c r="C23" s="147"/>
      <c r="D23" s="147"/>
      <c r="E23" s="147"/>
      <c r="F23" s="147"/>
    </row>
    <row r="24" spans="1:7" ht="27" x14ac:dyDescent="0.25">
      <c r="A24" s="11" t="s">
        <v>65</v>
      </c>
      <c r="B24" s="12" t="s">
        <v>70</v>
      </c>
      <c r="C24" s="11" t="s">
        <v>38</v>
      </c>
      <c r="D24" s="82">
        <v>1</v>
      </c>
      <c r="E24" s="83">
        <v>370000</v>
      </c>
      <c r="F24" s="84">
        <f t="shared" ref="F24:F28" si="6">D24*E24</f>
        <v>370000</v>
      </c>
    </row>
    <row r="25" spans="1:7" ht="27" x14ac:dyDescent="0.25">
      <c r="A25" s="3" t="s">
        <v>66</v>
      </c>
      <c r="B25" s="14" t="s">
        <v>71</v>
      </c>
      <c r="C25" s="3" t="s">
        <v>38</v>
      </c>
      <c r="D25" s="66">
        <v>2</v>
      </c>
      <c r="E25" s="29">
        <v>429000</v>
      </c>
      <c r="F25" s="85">
        <f t="shared" si="6"/>
        <v>858000</v>
      </c>
    </row>
    <row r="26" spans="1:7" ht="27" x14ac:dyDescent="0.25">
      <c r="A26" s="3" t="s">
        <v>67</v>
      </c>
      <c r="B26" s="14" t="s">
        <v>72</v>
      </c>
      <c r="C26" s="3" t="s">
        <v>38</v>
      </c>
      <c r="D26" s="66">
        <v>5</v>
      </c>
      <c r="E26" s="29">
        <v>704000</v>
      </c>
      <c r="F26" s="85">
        <f t="shared" si="6"/>
        <v>3520000</v>
      </c>
    </row>
    <row r="27" spans="1:7" ht="27" x14ac:dyDescent="0.25">
      <c r="A27" s="3" t="s">
        <v>68</v>
      </c>
      <c r="B27" s="14" t="s">
        <v>73</v>
      </c>
      <c r="C27" s="3" t="s">
        <v>38</v>
      </c>
      <c r="D27" s="66">
        <v>1</v>
      </c>
      <c r="E27" s="29">
        <v>989000</v>
      </c>
      <c r="F27" s="85">
        <f t="shared" si="6"/>
        <v>989000</v>
      </c>
    </row>
    <row r="28" spans="1:7" ht="27.5" thickBot="1" x14ac:dyDescent="0.3">
      <c r="A28" s="6" t="s">
        <v>69</v>
      </c>
      <c r="B28" s="15" t="s">
        <v>74</v>
      </c>
      <c r="C28" s="6" t="s">
        <v>38</v>
      </c>
      <c r="D28" s="86">
        <v>1</v>
      </c>
      <c r="E28" s="87">
        <v>459000</v>
      </c>
      <c r="F28" s="88">
        <f t="shared" si="6"/>
        <v>459000</v>
      </c>
      <c r="G28">
        <f>SUM(H36)</f>
        <v>0</v>
      </c>
    </row>
    <row r="29" spans="1:7" ht="28.5" thickBot="1" x14ac:dyDescent="0.3">
      <c r="A29" s="17"/>
      <c r="B29" s="16"/>
      <c r="C29" s="17"/>
      <c r="D29" s="144" t="s">
        <v>29</v>
      </c>
      <c r="E29" s="145"/>
      <c r="F29" s="124">
        <f>SUM(F24:F28)</f>
        <v>6196000</v>
      </c>
    </row>
    <row r="30" spans="1:7" ht="28.5" thickBot="1" x14ac:dyDescent="0.3">
      <c r="A30" s="129"/>
      <c r="B30" s="130" t="s">
        <v>21</v>
      </c>
      <c r="C30" s="7"/>
      <c r="D30" s="131"/>
      <c r="E30" s="132"/>
      <c r="F30" s="132"/>
    </row>
    <row r="31" spans="1:7" ht="27" x14ac:dyDescent="0.25">
      <c r="A31" s="18" t="s">
        <v>76</v>
      </c>
      <c r="B31" s="89" t="s">
        <v>78</v>
      </c>
      <c r="C31" s="18" t="s">
        <v>0</v>
      </c>
      <c r="D31" s="47">
        <v>1</v>
      </c>
      <c r="E31" s="58">
        <v>8300000</v>
      </c>
      <c r="F31" s="90">
        <f>D31*E31</f>
        <v>8300000</v>
      </c>
    </row>
    <row r="32" spans="1:7" ht="27" x14ac:dyDescent="0.25">
      <c r="A32" s="2" t="s">
        <v>79</v>
      </c>
      <c r="B32" s="67" t="s">
        <v>77</v>
      </c>
      <c r="C32" s="2" t="s">
        <v>0</v>
      </c>
      <c r="D32" s="4">
        <v>1</v>
      </c>
      <c r="E32" s="45">
        <v>1501000</v>
      </c>
      <c r="F32" s="43">
        <f>D32*E32</f>
        <v>1501000</v>
      </c>
    </row>
    <row r="33" spans="1:6" ht="54" x14ac:dyDescent="0.25">
      <c r="A33" s="2" t="s">
        <v>59</v>
      </c>
      <c r="B33" s="65" t="s">
        <v>44</v>
      </c>
      <c r="C33" s="2" t="s">
        <v>2</v>
      </c>
      <c r="D33" s="4">
        <v>15</v>
      </c>
      <c r="E33" s="73">
        <v>129000</v>
      </c>
      <c r="F33" s="43">
        <f>D33*E33</f>
        <v>1935000</v>
      </c>
    </row>
    <row r="34" spans="1:6" ht="54" x14ac:dyDescent="0.25">
      <c r="A34" s="2" t="s">
        <v>60</v>
      </c>
      <c r="B34" s="65" t="s">
        <v>80</v>
      </c>
      <c r="C34" s="2" t="s">
        <v>2</v>
      </c>
      <c r="D34" s="4">
        <v>230</v>
      </c>
      <c r="E34" s="45">
        <v>81000</v>
      </c>
      <c r="F34" s="43">
        <f t="shared" ref="F34" si="7">D34*E34</f>
        <v>18630000</v>
      </c>
    </row>
    <row r="35" spans="1:6" ht="54.5" thickBot="1" x14ac:dyDescent="0.3">
      <c r="A35" s="5" t="s">
        <v>61</v>
      </c>
      <c r="B35" s="91" t="s">
        <v>81</v>
      </c>
      <c r="C35" s="5" t="s">
        <v>2</v>
      </c>
      <c r="D35" s="22">
        <v>228</v>
      </c>
      <c r="E35" s="46">
        <v>75000</v>
      </c>
      <c r="F35" s="44">
        <f>D35*E35</f>
        <v>17100000</v>
      </c>
    </row>
    <row r="36" spans="1:6" ht="28" thickBot="1" x14ac:dyDescent="0.3">
      <c r="A36" s="7"/>
      <c r="B36" s="8"/>
      <c r="C36" s="7"/>
      <c r="D36" s="158" t="s">
        <v>23</v>
      </c>
      <c r="E36" s="159"/>
      <c r="F36" s="92">
        <f>SUM(F31:F35)</f>
        <v>47466000</v>
      </c>
    </row>
    <row r="37" spans="1:6" ht="29" thickBot="1" x14ac:dyDescent="0.3">
      <c r="A37" s="61">
        <v>9</v>
      </c>
      <c r="B37" s="93" t="s">
        <v>87</v>
      </c>
      <c r="C37" s="166"/>
      <c r="D37" s="166"/>
      <c r="E37" s="166"/>
      <c r="F37" s="167"/>
    </row>
    <row r="38" spans="1:6" ht="27" x14ac:dyDescent="0.25">
      <c r="A38" s="11" t="s">
        <v>62</v>
      </c>
      <c r="B38" s="12" t="s">
        <v>86</v>
      </c>
      <c r="C38" s="11" t="s">
        <v>37</v>
      </c>
      <c r="D38" s="19">
        <v>60</v>
      </c>
      <c r="E38" s="13">
        <v>84720</v>
      </c>
      <c r="F38" s="20">
        <f t="shared" ref="F38" si="8">D38*E38</f>
        <v>5083200</v>
      </c>
    </row>
    <row r="39" spans="1:6" ht="27.5" thickBot="1" x14ac:dyDescent="0.3">
      <c r="A39" s="6" t="s">
        <v>82</v>
      </c>
      <c r="B39" s="15" t="s">
        <v>83</v>
      </c>
      <c r="C39" s="6" t="s">
        <v>38</v>
      </c>
      <c r="D39" s="24">
        <v>10</v>
      </c>
      <c r="E39" s="25">
        <v>398000</v>
      </c>
      <c r="F39" s="26">
        <f t="shared" ref="F39" si="9">D39*E39</f>
        <v>3980000</v>
      </c>
    </row>
    <row r="40" spans="1:6" ht="28" thickBot="1" x14ac:dyDescent="0.3">
      <c r="A40" s="17"/>
      <c r="B40" s="41"/>
      <c r="C40" s="17"/>
      <c r="D40" s="144" t="s">
        <v>24</v>
      </c>
      <c r="E40" s="145"/>
      <c r="F40" s="42">
        <f>SUM(F39:F39)</f>
        <v>3980000</v>
      </c>
    </row>
    <row r="41" spans="1:6" ht="29" thickBot="1" x14ac:dyDescent="0.3">
      <c r="A41" s="110">
        <v>10</v>
      </c>
      <c r="B41" s="111" t="s">
        <v>46</v>
      </c>
      <c r="C41" s="164"/>
      <c r="D41" s="164"/>
      <c r="E41" s="164"/>
      <c r="F41" s="164"/>
    </row>
    <row r="42" spans="1:6" ht="27" x14ac:dyDescent="0.25">
      <c r="A42" s="68" t="s">
        <v>63</v>
      </c>
      <c r="B42" s="94" t="s">
        <v>64</v>
      </c>
      <c r="C42" s="68" t="s">
        <v>93</v>
      </c>
      <c r="D42" s="95">
        <v>113</v>
      </c>
      <c r="E42" s="74">
        <v>71000</v>
      </c>
      <c r="F42" s="96">
        <f>D42*E42</f>
        <v>8023000</v>
      </c>
    </row>
    <row r="43" spans="1:6" ht="27.5" thickBot="1" x14ac:dyDescent="0.3">
      <c r="A43" s="97" t="s">
        <v>63</v>
      </c>
      <c r="B43" s="98" t="s">
        <v>96</v>
      </c>
      <c r="C43" s="97" t="s">
        <v>38</v>
      </c>
      <c r="D43" s="99">
        <v>50</v>
      </c>
      <c r="E43" s="75">
        <v>35000</v>
      </c>
      <c r="F43" s="100">
        <f>D43*E43</f>
        <v>1750000</v>
      </c>
    </row>
    <row r="44" spans="1:6" ht="28" thickBot="1" x14ac:dyDescent="0.3">
      <c r="A44" s="112"/>
      <c r="B44" s="113"/>
      <c r="C44" s="112"/>
      <c r="D44" s="168" t="s">
        <v>27</v>
      </c>
      <c r="E44" s="169"/>
      <c r="F44" s="114">
        <f>SUM(F43:F43)</f>
        <v>1750000</v>
      </c>
    </row>
    <row r="45" spans="1:6" ht="29" thickBot="1" x14ac:dyDescent="0.3">
      <c r="A45" s="110">
        <v>11</v>
      </c>
      <c r="B45" s="111" t="s">
        <v>22</v>
      </c>
      <c r="C45" s="164"/>
      <c r="D45" s="164"/>
      <c r="E45" s="164"/>
      <c r="F45" s="164"/>
    </row>
    <row r="46" spans="1:6" ht="27.5" thickBot="1" x14ac:dyDescent="0.3">
      <c r="A46" s="53" t="s">
        <v>40</v>
      </c>
      <c r="B46" s="101" t="s">
        <v>25</v>
      </c>
      <c r="C46" s="102" t="s">
        <v>12</v>
      </c>
      <c r="D46" s="102" t="s">
        <v>1</v>
      </c>
      <c r="E46" s="103">
        <v>7400000</v>
      </c>
      <c r="F46" s="104">
        <f>D46*E46</f>
        <v>7400000</v>
      </c>
    </row>
    <row r="47" spans="1:6" ht="28" thickBot="1" x14ac:dyDescent="0.3">
      <c r="A47" s="56"/>
      <c r="B47" s="54"/>
      <c r="C47" s="55"/>
      <c r="D47" s="165" t="s">
        <v>27</v>
      </c>
      <c r="E47" s="165"/>
      <c r="F47" s="136">
        <f>SUM(F46:F46)</f>
        <v>7400000</v>
      </c>
    </row>
    <row r="48" spans="1:6" ht="29" thickBot="1" x14ac:dyDescent="0.3">
      <c r="A48" s="10">
        <v>12</v>
      </c>
      <c r="B48" s="23" t="s">
        <v>3</v>
      </c>
      <c r="C48" s="160"/>
      <c r="D48" s="160"/>
      <c r="E48" s="160"/>
      <c r="F48" s="161"/>
    </row>
    <row r="49" spans="1:6" ht="27" x14ac:dyDescent="0.25">
      <c r="A49" s="11" t="s">
        <v>41</v>
      </c>
      <c r="B49" s="12" t="s">
        <v>33</v>
      </c>
      <c r="C49" s="11" t="s">
        <v>12</v>
      </c>
      <c r="D49" s="82" t="s">
        <v>1</v>
      </c>
      <c r="E49" s="105">
        <v>224000</v>
      </c>
      <c r="F49" s="106">
        <f>D49*E49</f>
        <v>224000</v>
      </c>
    </row>
    <row r="50" spans="1:6" ht="27" x14ac:dyDescent="0.25">
      <c r="A50" s="3" t="s">
        <v>42</v>
      </c>
      <c r="B50" s="14" t="s">
        <v>84</v>
      </c>
      <c r="C50" s="3" t="s">
        <v>12</v>
      </c>
      <c r="D50" s="66" t="s">
        <v>1</v>
      </c>
      <c r="E50" s="64">
        <v>471000</v>
      </c>
      <c r="F50" s="107">
        <f>D50*E50</f>
        <v>471000</v>
      </c>
    </row>
    <row r="51" spans="1:6" ht="27.5" thickBot="1" x14ac:dyDescent="0.3">
      <c r="A51" s="6" t="s">
        <v>43</v>
      </c>
      <c r="B51" s="15" t="s">
        <v>35</v>
      </c>
      <c r="C51" s="6" t="s">
        <v>12</v>
      </c>
      <c r="D51" s="86" t="s">
        <v>1</v>
      </c>
      <c r="E51" s="108">
        <v>4200000</v>
      </c>
      <c r="F51" s="109">
        <f>D51*E51</f>
        <v>4200000</v>
      </c>
    </row>
    <row r="52" spans="1:6" ht="28" thickBot="1" x14ac:dyDescent="0.3">
      <c r="A52" s="9"/>
      <c r="B52" s="27"/>
      <c r="C52" s="9"/>
      <c r="D52" s="162" t="s">
        <v>30</v>
      </c>
      <c r="E52" s="163"/>
      <c r="F52" s="38">
        <f>SUM(F49:F51)</f>
        <v>4895000</v>
      </c>
    </row>
    <row r="53" spans="1:6" ht="27.5" x14ac:dyDescent="0.25">
      <c r="A53" s="153"/>
      <c r="B53" s="153"/>
      <c r="C53" s="154" t="s">
        <v>13</v>
      </c>
      <c r="D53" s="155"/>
      <c r="E53" s="133"/>
      <c r="F53" s="84">
        <f>SUM(F6+F10+F22+F29+F36+F40+F44+F47+F52)</f>
        <v>100854836</v>
      </c>
    </row>
    <row r="54" spans="1:6" ht="27.5" x14ac:dyDescent="0.25">
      <c r="A54" s="153"/>
      <c r="B54" s="153"/>
      <c r="C54" s="134" t="s">
        <v>94</v>
      </c>
      <c r="D54" s="50"/>
      <c r="E54" s="28"/>
      <c r="F54" s="85">
        <f>F53*0.14</f>
        <v>14119677.040000001</v>
      </c>
    </row>
    <row r="55" spans="1:6" ht="27.5" x14ac:dyDescent="0.25">
      <c r="A55" s="153"/>
      <c r="B55" s="153"/>
      <c r="C55" s="134" t="s">
        <v>85</v>
      </c>
      <c r="D55" s="50"/>
      <c r="E55" s="28"/>
      <c r="F55" s="85">
        <f>F53*0.01</f>
        <v>1008548.36</v>
      </c>
    </row>
    <row r="56" spans="1:6" ht="27.5" x14ac:dyDescent="0.25">
      <c r="A56" s="153"/>
      <c r="B56" s="153"/>
      <c r="C56" s="134" t="s">
        <v>39</v>
      </c>
      <c r="D56" s="50"/>
      <c r="E56" s="28"/>
      <c r="F56" s="85">
        <f>F53*0.05</f>
        <v>5042741.8000000007</v>
      </c>
    </row>
    <row r="57" spans="1:6" ht="27.5" x14ac:dyDescent="0.25">
      <c r="A57" s="153"/>
      <c r="B57" s="153"/>
      <c r="C57" s="134" t="s">
        <v>88</v>
      </c>
      <c r="D57" s="50"/>
      <c r="E57" s="28"/>
      <c r="F57" s="85">
        <f>F56*0.19</f>
        <v>958120.94200000016</v>
      </c>
    </row>
    <row r="58" spans="1:6" ht="28" thickBot="1" x14ac:dyDescent="0.3">
      <c r="A58" s="153"/>
      <c r="B58" s="153"/>
      <c r="C58" s="156" t="s">
        <v>14</v>
      </c>
      <c r="D58" s="157"/>
      <c r="E58" s="135"/>
      <c r="F58" s="88">
        <f>SUM(F53:F57)</f>
        <v>121983924.142</v>
      </c>
    </row>
    <row r="59" spans="1:6" ht="27.5" x14ac:dyDescent="0.25">
      <c r="A59" s="30"/>
      <c r="B59" s="30"/>
      <c r="C59" s="30"/>
      <c r="D59" s="30"/>
      <c r="E59" s="30"/>
      <c r="F59" s="30"/>
    </row>
    <row r="60" spans="1:6" ht="29" thickBot="1" x14ac:dyDescent="0.3">
      <c r="A60" s="31"/>
      <c r="B60" s="30"/>
      <c r="C60" s="30"/>
      <c r="D60" s="30"/>
      <c r="E60" s="30"/>
      <c r="F60" s="30"/>
    </row>
    <row r="61" spans="1:6" ht="28" thickBot="1" x14ac:dyDescent="0.3">
      <c r="A61" s="170" t="s">
        <v>98</v>
      </c>
      <c r="B61" s="171"/>
      <c r="C61" s="171"/>
      <c r="D61" s="171"/>
      <c r="E61" s="171"/>
      <c r="F61" s="172"/>
    </row>
    <row r="62" spans="1:6" ht="27" x14ac:dyDescent="0.25">
      <c r="A62" s="173" t="s">
        <v>99</v>
      </c>
      <c r="B62" s="174"/>
      <c r="C62" s="175" t="s">
        <v>100</v>
      </c>
      <c r="D62" s="176"/>
      <c r="E62" s="176"/>
      <c r="F62" s="177"/>
    </row>
    <row r="63" spans="1:6" ht="27" x14ac:dyDescent="0.5">
      <c r="A63" s="178" t="s">
        <v>101</v>
      </c>
      <c r="B63" s="179"/>
      <c r="C63" s="180" t="s">
        <v>102</v>
      </c>
      <c r="D63" s="181"/>
      <c r="E63" s="181"/>
      <c r="F63" s="182"/>
    </row>
    <row r="64" spans="1:6" ht="27.5" thickBot="1" x14ac:dyDescent="0.55000000000000004">
      <c r="A64" s="185" t="s">
        <v>103</v>
      </c>
      <c r="B64" s="186"/>
      <c r="C64" s="187" t="s">
        <v>104</v>
      </c>
      <c r="D64" s="188"/>
      <c r="E64" s="188"/>
      <c r="F64" s="189"/>
    </row>
    <row r="65" spans="1:6" ht="28" thickBot="1" x14ac:dyDescent="0.6">
      <c r="A65" s="190" t="s">
        <v>105</v>
      </c>
      <c r="B65" s="191"/>
      <c r="C65" s="191"/>
      <c r="D65" s="191"/>
      <c r="E65" s="191"/>
      <c r="F65" s="191"/>
    </row>
    <row r="66" spans="1:6" ht="111" customHeight="1" thickBot="1" x14ac:dyDescent="0.3">
      <c r="A66" s="192" t="s">
        <v>107</v>
      </c>
      <c r="B66" s="193"/>
      <c r="C66" s="193"/>
      <c r="D66" s="193"/>
      <c r="E66" s="193"/>
      <c r="F66" s="193"/>
    </row>
    <row r="67" spans="1:6" ht="60" customHeight="1" thickBot="1" x14ac:dyDescent="0.3">
      <c r="A67" s="194"/>
      <c r="B67" s="142"/>
      <c r="C67" s="142"/>
      <c r="D67" s="142"/>
      <c r="E67" s="142"/>
      <c r="F67" s="142"/>
    </row>
    <row r="68" spans="1:6" ht="20" x14ac:dyDescent="0.25">
      <c r="A68" s="183" t="s">
        <v>106</v>
      </c>
      <c r="B68" s="184"/>
      <c r="C68" s="184"/>
      <c r="D68" s="184"/>
      <c r="E68" s="184"/>
      <c r="F68" s="184"/>
    </row>
  </sheetData>
  <mergeCells count="30">
    <mergeCell ref="A68:F68"/>
    <mergeCell ref="A64:B64"/>
    <mergeCell ref="C64:F64"/>
    <mergeCell ref="A65:F65"/>
    <mergeCell ref="A66:F66"/>
    <mergeCell ref="A67:F67"/>
    <mergeCell ref="A61:F61"/>
    <mergeCell ref="A62:B62"/>
    <mergeCell ref="C62:F62"/>
    <mergeCell ref="A63:B63"/>
    <mergeCell ref="C63:F63"/>
    <mergeCell ref="A53:B58"/>
    <mergeCell ref="C53:D53"/>
    <mergeCell ref="C58:D58"/>
    <mergeCell ref="D36:E36"/>
    <mergeCell ref="C48:F48"/>
    <mergeCell ref="D52:E52"/>
    <mergeCell ref="C45:F45"/>
    <mergeCell ref="D47:E47"/>
    <mergeCell ref="C37:F37"/>
    <mergeCell ref="D40:E40"/>
    <mergeCell ref="C41:F41"/>
    <mergeCell ref="D44:E44"/>
    <mergeCell ref="A2:F2"/>
    <mergeCell ref="D22:E22"/>
    <mergeCell ref="B23:F23"/>
    <mergeCell ref="D29:E29"/>
    <mergeCell ref="D6:E6"/>
    <mergeCell ref="D10:E10"/>
    <mergeCell ref="B11:F11"/>
  </mergeCells>
  <phoneticPr fontId="9" type="noConversion"/>
  <pageMargins left="0.75" right="0.75" top="1" bottom="1" header="0.5" footer="0.5"/>
  <pageSetup scale="27" orientation="portrait" r:id="rId1"/>
  <rowBreaks count="1" manualBreakCount="1">
    <brk id="60" max="5" man="1"/>
  </rowBreaks>
  <ignoredErrors>
    <ignoredError sqref="E6 C9 E29 C10 E10 C35 E58 C33 C34 D50:D51 D49 F49 D48:F48 D46 F46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Usuario</cp:lastModifiedBy>
  <cp:lastPrinted>2025-08-20T23:59:09Z</cp:lastPrinted>
  <dcterms:created xsi:type="dcterms:W3CDTF">2014-04-26T02:53:33Z</dcterms:created>
  <dcterms:modified xsi:type="dcterms:W3CDTF">2026-05-03T20:22:03Z</dcterms:modified>
</cp:coreProperties>
</file>